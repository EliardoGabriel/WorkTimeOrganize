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2435" windowHeight="7485" activeTab="7"/>
  </bookViews>
  <sheets>
    <sheet name="MASTER" sheetId="7" r:id="rId1"/>
    <sheet name="July-2020" sheetId="1" r:id="rId2"/>
    <sheet name="August-2020" sheetId="4" r:id="rId3"/>
    <sheet name="September-2020" sheetId="5" r:id="rId4"/>
    <sheet name="October-2020" sheetId="8" r:id="rId5"/>
    <sheet name="November-2020" sheetId="9" r:id="rId6"/>
    <sheet name="December-2020" sheetId="10" r:id="rId7"/>
    <sheet name="Januar-2021" sheetId="11" r:id="rId8"/>
  </sheets>
  <calcPr calcId="145621"/>
</workbook>
</file>

<file path=xl/calcChain.xml><?xml version="1.0" encoding="utf-8"?>
<calcChain xmlns="http://schemas.openxmlformats.org/spreadsheetml/2006/main">
  <c r="D36" i="11" l="1"/>
  <c r="D35" i="11"/>
  <c r="D34" i="11"/>
  <c r="D33" i="11"/>
  <c r="D32" i="11"/>
  <c r="D31" i="11"/>
  <c r="E31" i="11" s="1"/>
  <c r="D30" i="11"/>
  <c r="D29" i="11"/>
  <c r="D28" i="11"/>
  <c r="E28" i="11" s="1"/>
  <c r="D27" i="11"/>
  <c r="D26" i="11"/>
  <c r="E26" i="11" s="1"/>
  <c r="D25" i="11"/>
  <c r="D24" i="11"/>
  <c r="D23" i="11"/>
  <c r="D22" i="11"/>
  <c r="D21" i="11"/>
  <c r="D20" i="11"/>
  <c r="D19" i="11"/>
  <c r="E19" i="11" s="1"/>
  <c r="D18" i="11"/>
  <c r="D17" i="11"/>
  <c r="D16" i="11"/>
  <c r="D15" i="11"/>
  <c r="D14" i="11"/>
  <c r="E14" i="11" s="1"/>
  <c r="D13" i="11"/>
  <c r="E13" i="11" s="1"/>
  <c r="D12" i="11"/>
  <c r="E12" i="11" s="1"/>
  <c r="D11" i="11"/>
  <c r="D10" i="11"/>
  <c r="D9" i="11"/>
  <c r="E9" i="11" s="1"/>
  <c r="D8" i="11"/>
  <c r="D7" i="11"/>
  <c r="D6" i="11"/>
  <c r="T36" i="11"/>
  <c r="S36" i="11"/>
  <c r="O36" i="11"/>
  <c r="P36" i="11" s="1"/>
  <c r="Q36" i="11" s="1"/>
  <c r="E36" i="11"/>
  <c r="T35" i="11"/>
  <c r="S35" i="11"/>
  <c r="O35" i="11"/>
  <c r="P35" i="11" s="1"/>
  <c r="Q35" i="11" s="1"/>
  <c r="E35" i="11"/>
  <c r="T34" i="11"/>
  <c r="S34" i="11"/>
  <c r="V34" i="11" s="1"/>
  <c r="O34" i="11"/>
  <c r="P34" i="11" s="1"/>
  <c r="Q34" i="11" s="1"/>
  <c r="E34" i="11"/>
  <c r="T33" i="11"/>
  <c r="S33" i="11"/>
  <c r="V33" i="11" s="1"/>
  <c r="O33" i="11"/>
  <c r="P33" i="11" s="1"/>
  <c r="Q33" i="11" s="1"/>
  <c r="E33" i="11"/>
  <c r="T32" i="11"/>
  <c r="S32" i="11"/>
  <c r="O32" i="11"/>
  <c r="P32" i="11" s="1"/>
  <c r="Q32" i="11" s="1"/>
  <c r="E32" i="11"/>
  <c r="T31" i="11"/>
  <c r="S31" i="11"/>
  <c r="O31" i="11"/>
  <c r="P31" i="11" s="1"/>
  <c r="Q31" i="11" s="1"/>
  <c r="T30" i="11"/>
  <c r="S30" i="11"/>
  <c r="O30" i="11"/>
  <c r="P30" i="11" s="1"/>
  <c r="Q30" i="11" s="1"/>
  <c r="E30" i="11"/>
  <c r="T29" i="11"/>
  <c r="S29" i="11"/>
  <c r="O29" i="11"/>
  <c r="P29" i="11" s="1"/>
  <c r="Q29" i="11" s="1"/>
  <c r="E29" i="11"/>
  <c r="T28" i="11"/>
  <c r="S28" i="11"/>
  <c r="O28" i="11"/>
  <c r="P28" i="11" s="1"/>
  <c r="Q28" i="11" s="1"/>
  <c r="T27" i="11"/>
  <c r="S27" i="11"/>
  <c r="O27" i="11"/>
  <c r="P27" i="11" s="1"/>
  <c r="Q27" i="11" s="1"/>
  <c r="E27" i="11"/>
  <c r="T26" i="11"/>
  <c r="S26" i="11"/>
  <c r="O26" i="11"/>
  <c r="P26" i="11" s="1"/>
  <c r="Q26" i="11" s="1"/>
  <c r="T25" i="11"/>
  <c r="S25" i="11"/>
  <c r="O25" i="11"/>
  <c r="P25" i="11" s="1"/>
  <c r="Q25" i="11" s="1"/>
  <c r="E25" i="11"/>
  <c r="T24" i="11"/>
  <c r="S24" i="11"/>
  <c r="O24" i="11"/>
  <c r="P24" i="11" s="1"/>
  <c r="Q24" i="11" s="1"/>
  <c r="E24" i="11"/>
  <c r="T23" i="11"/>
  <c r="S23" i="11"/>
  <c r="O23" i="11"/>
  <c r="P23" i="11" s="1"/>
  <c r="Q23" i="11" s="1"/>
  <c r="E23" i="11"/>
  <c r="T22" i="11"/>
  <c r="S22" i="11"/>
  <c r="O22" i="11"/>
  <c r="P22" i="11" s="1"/>
  <c r="Q22" i="11" s="1"/>
  <c r="E22" i="11"/>
  <c r="T21" i="11"/>
  <c r="S21" i="11"/>
  <c r="O21" i="11"/>
  <c r="P21" i="11" s="1"/>
  <c r="Q21" i="11" s="1"/>
  <c r="E21" i="11"/>
  <c r="T20" i="11"/>
  <c r="S20" i="11"/>
  <c r="O20" i="11"/>
  <c r="P20" i="11" s="1"/>
  <c r="Q20" i="11" s="1"/>
  <c r="E20" i="11"/>
  <c r="T19" i="11"/>
  <c r="S19" i="11"/>
  <c r="O19" i="11"/>
  <c r="P19" i="11" s="1"/>
  <c r="Q19" i="11" s="1"/>
  <c r="T18" i="11"/>
  <c r="S18" i="11"/>
  <c r="O18" i="11"/>
  <c r="P18" i="11" s="1"/>
  <c r="Q18" i="11" s="1"/>
  <c r="E18" i="11"/>
  <c r="T17" i="11"/>
  <c r="S17" i="11"/>
  <c r="O17" i="11"/>
  <c r="P17" i="11" s="1"/>
  <c r="Q17" i="11" s="1"/>
  <c r="E17" i="11"/>
  <c r="T16" i="11"/>
  <c r="S16" i="11"/>
  <c r="O16" i="11"/>
  <c r="P16" i="11" s="1"/>
  <c r="Q16" i="11" s="1"/>
  <c r="E16" i="11"/>
  <c r="T15" i="11"/>
  <c r="S15" i="11"/>
  <c r="O15" i="11"/>
  <c r="P15" i="11" s="1"/>
  <c r="Q15" i="11" s="1"/>
  <c r="E15" i="11"/>
  <c r="T14" i="11"/>
  <c r="S14" i="11"/>
  <c r="O14" i="11"/>
  <c r="P14" i="11" s="1"/>
  <c r="Q14" i="11" s="1"/>
  <c r="T13" i="11"/>
  <c r="S13" i="11"/>
  <c r="O13" i="11"/>
  <c r="P13" i="11" s="1"/>
  <c r="Q13" i="11" s="1"/>
  <c r="T12" i="11"/>
  <c r="S12" i="11"/>
  <c r="O12" i="11"/>
  <c r="P12" i="11" s="1"/>
  <c r="Q12" i="11" s="1"/>
  <c r="T11" i="11"/>
  <c r="U11" i="11" s="1"/>
  <c r="S11" i="11"/>
  <c r="O11" i="11"/>
  <c r="P11" i="11" s="1"/>
  <c r="Q11" i="11" s="1"/>
  <c r="E11" i="11"/>
  <c r="T10" i="11"/>
  <c r="S10" i="11"/>
  <c r="O10" i="11"/>
  <c r="P10" i="11" s="1"/>
  <c r="Q10" i="11" s="1"/>
  <c r="E10" i="11"/>
  <c r="V9" i="11"/>
  <c r="T9" i="11"/>
  <c r="S9" i="11"/>
  <c r="U9" i="11" s="1"/>
  <c r="P9" i="11"/>
  <c r="Q9" i="11" s="1"/>
  <c r="O9" i="11"/>
  <c r="T8" i="11"/>
  <c r="S8" i="11"/>
  <c r="O8" i="11"/>
  <c r="E8" i="11"/>
  <c r="T7" i="11"/>
  <c r="S7" i="11"/>
  <c r="O7" i="11"/>
  <c r="P7" i="11" s="1"/>
  <c r="Q7" i="11" s="1"/>
  <c r="E7" i="11"/>
  <c r="B7" i="11"/>
  <c r="T6" i="11"/>
  <c r="S6" i="11"/>
  <c r="O6" i="11"/>
  <c r="P6" i="11" s="1"/>
  <c r="Q6" i="11" s="1"/>
  <c r="E6" i="11"/>
  <c r="V32" i="11" l="1"/>
  <c r="V31" i="11"/>
  <c r="V30" i="11"/>
  <c r="V27" i="11"/>
  <c r="V26" i="11"/>
  <c r="V25" i="11"/>
  <c r="V24" i="11"/>
  <c r="V23" i="11"/>
  <c r="V20" i="11"/>
  <c r="V19" i="11"/>
  <c r="V18" i="11"/>
  <c r="V17" i="11"/>
  <c r="V16" i="11"/>
  <c r="V13" i="11"/>
  <c r="V12" i="11"/>
  <c r="U12" i="11"/>
  <c r="V11" i="11"/>
  <c r="V10" i="11"/>
  <c r="U10" i="11"/>
  <c r="U6" i="11"/>
  <c r="V6" i="11"/>
  <c r="V36" i="11"/>
  <c r="V35" i="11"/>
  <c r="V29" i="11"/>
  <c r="V28" i="11"/>
  <c r="V22" i="11"/>
  <c r="V21" i="11"/>
  <c r="V15" i="11"/>
  <c r="V14" i="11"/>
  <c r="V8" i="11"/>
  <c r="U8" i="11"/>
  <c r="P8" i="11"/>
  <c r="Q8" i="11" s="1"/>
  <c r="B10" i="11"/>
  <c r="V7" i="11"/>
  <c r="U7" i="11"/>
  <c r="B13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U31" i="11"/>
  <c r="U32" i="11"/>
  <c r="U33" i="11"/>
  <c r="U34" i="11"/>
  <c r="U35" i="11"/>
  <c r="U36" i="11"/>
  <c r="D36" i="10"/>
  <c r="D35" i="10"/>
  <c r="E35" i="10" s="1"/>
  <c r="D34" i="10"/>
  <c r="D33" i="10"/>
  <c r="D32" i="10"/>
  <c r="D31" i="10"/>
  <c r="D30" i="10"/>
  <c r="D29" i="10"/>
  <c r="D28" i="10"/>
  <c r="D27" i="10"/>
  <c r="E27" i="10" s="1"/>
  <c r="D26" i="10"/>
  <c r="D25" i="10"/>
  <c r="E25" i="10" s="1"/>
  <c r="D24" i="10"/>
  <c r="D23" i="10"/>
  <c r="E23" i="10" s="1"/>
  <c r="D22" i="10"/>
  <c r="D21" i="10"/>
  <c r="E21" i="10" s="1"/>
  <c r="D20" i="10"/>
  <c r="D19" i="10"/>
  <c r="D18" i="10"/>
  <c r="E18" i="10" s="1"/>
  <c r="D17" i="10"/>
  <c r="E17" i="10" s="1"/>
  <c r="D16" i="10"/>
  <c r="D15" i="10"/>
  <c r="D14" i="10"/>
  <c r="D13" i="10"/>
  <c r="E13" i="10" s="1"/>
  <c r="D12" i="10"/>
  <c r="E12" i="10" s="1"/>
  <c r="D11" i="10"/>
  <c r="E11" i="10" s="1"/>
  <c r="D10" i="10"/>
  <c r="E10" i="10" s="1"/>
  <c r="D9" i="10"/>
  <c r="E9" i="10" s="1"/>
  <c r="D8" i="10"/>
  <c r="E8" i="10" s="1"/>
  <c r="D7" i="10"/>
  <c r="E7" i="10" s="1"/>
  <c r="D6" i="10"/>
  <c r="T36" i="10"/>
  <c r="S36" i="10"/>
  <c r="O36" i="10"/>
  <c r="P36" i="10" s="1"/>
  <c r="Q36" i="10" s="1"/>
  <c r="E36" i="10"/>
  <c r="T35" i="10"/>
  <c r="S35" i="10"/>
  <c r="V35" i="10" s="1"/>
  <c r="P35" i="10"/>
  <c r="Q35" i="10" s="1"/>
  <c r="O35" i="10"/>
  <c r="T34" i="10"/>
  <c r="S34" i="10"/>
  <c r="O34" i="10"/>
  <c r="P34" i="10" s="1"/>
  <c r="Q34" i="10" s="1"/>
  <c r="E34" i="10"/>
  <c r="T33" i="10"/>
  <c r="S33" i="10"/>
  <c r="O33" i="10"/>
  <c r="P33" i="10" s="1"/>
  <c r="Q33" i="10" s="1"/>
  <c r="E33" i="10"/>
  <c r="T32" i="10"/>
  <c r="S32" i="10"/>
  <c r="O32" i="10"/>
  <c r="P32" i="10" s="1"/>
  <c r="Q32" i="10" s="1"/>
  <c r="E32" i="10"/>
  <c r="T31" i="10"/>
  <c r="S31" i="10"/>
  <c r="O31" i="10"/>
  <c r="P31" i="10" s="1"/>
  <c r="Q31" i="10" s="1"/>
  <c r="E31" i="10"/>
  <c r="T30" i="10"/>
  <c r="S30" i="10"/>
  <c r="O30" i="10"/>
  <c r="P30" i="10" s="1"/>
  <c r="Q30" i="10" s="1"/>
  <c r="E30" i="10"/>
  <c r="T29" i="10"/>
  <c r="S29" i="10"/>
  <c r="O29" i="10"/>
  <c r="P29" i="10" s="1"/>
  <c r="Q29" i="10" s="1"/>
  <c r="E29" i="10"/>
  <c r="T28" i="10"/>
  <c r="S28" i="10"/>
  <c r="O28" i="10"/>
  <c r="P28" i="10" s="1"/>
  <c r="Q28" i="10" s="1"/>
  <c r="E28" i="10"/>
  <c r="T27" i="10"/>
  <c r="S27" i="10"/>
  <c r="O27" i="10"/>
  <c r="P27" i="10" s="1"/>
  <c r="Q27" i="10" s="1"/>
  <c r="T26" i="10"/>
  <c r="S26" i="10"/>
  <c r="O26" i="10"/>
  <c r="P26" i="10" s="1"/>
  <c r="Q26" i="10" s="1"/>
  <c r="E26" i="10"/>
  <c r="T25" i="10"/>
  <c r="S25" i="10"/>
  <c r="O25" i="10"/>
  <c r="P25" i="10" s="1"/>
  <c r="Q25" i="10" s="1"/>
  <c r="T24" i="10"/>
  <c r="S24" i="10"/>
  <c r="O24" i="10"/>
  <c r="P24" i="10" s="1"/>
  <c r="Q24" i="10" s="1"/>
  <c r="E24" i="10"/>
  <c r="T23" i="10"/>
  <c r="S23" i="10"/>
  <c r="V23" i="10" s="1"/>
  <c r="O23" i="10"/>
  <c r="P23" i="10" s="1"/>
  <c r="Q23" i="10" s="1"/>
  <c r="T22" i="10"/>
  <c r="S22" i="10"/>
  <c r="O22" i="10"/>
  <c r="P22" i="10" s="1"/>
  <c r="Q22" i="10" s="1"/>
  <c r="E22" i="10"/>
  <c r="T21" i="10"/>
  <c r="S21" i="10"/>
  <c r="O21" i="10"/>
  <c r="P21" i="10" s="1"/>
  <c r="Q21" i="10" s="1"/>
  <c r="T20" i="10"/>
  <c r="S20" i="10"/>
  <c r="O20" i="10"/>
  <c r="P20" i="10" s="1"/>
  <c r="Q20" i="10" s="1"/>
  <c r="E20" i="10"/>
  <c r="T19" i="10"/>
  <c r="S19" i="10"/>
  <c r="O19" i="10"/>
  <c r="P19" i="10" s="1"/>
  <c r="Q19" i="10" s="1"/>
  <c r="E19" i="10"/>
  <c r="T18" i="10"/>
  <c r="S18" i="10"/>
  <c r="O18" i="10"/>
  <c r="P18" i="10" s="1"/>
  <c r="Q18" i="10" s="1"/>
  <c r="T17" i="10"/>
  <c r="S17" i="10"/>
  <c r="O17" i="10"/>
  <c r="P17" i="10" s="1"/>
  <c r="Q17" i="10" s="1"/>
  <c r="T16" i="10"/>
  <c r="S16" i="10"/>
  <c r="O16" i="10"/>
  <c r="U16" i="10" s="1"/>
  <c r="E16" i="10"/>
  <c r="T15" i="10"/>
  <c r="S15" i="10"/>
  <c r="O15" i="10"/>
  <c r="P15" i="10" s="1"/>
  <c r="Q15" i="10" s="1"/>
  <c r="E15" i="10"/>
  <c r="T14" i="10"/>
  <c r="S14" i="10"/>
  <c r="O14" i="10"/>
  <c r="P14" i="10" s="1"/>
  <c r="Q14" i="10" s="1"/>
  <c r="E14" i="10"/>
  <c r="T13" i="10"/>
  <c r="S13" i="10"/>
  <c r="O13" i="10"/>
  <c r="P13" i="10" s="1"/>
  <c r="Q13" i="10" s="1"/>
  <c r="T12" i="10"/>
  <c r="S12" i="10"/>
  <c r="O12" i="10"/>
  <c r="P12" i="10" s="1"/>
  <c r="Q12" i="10" s="1"/>
  <c r="T11" i="10"/>
  <c r="S11" i="10"/>
  <c r="O11" i="10"/>
  <c r="P11" i="10" s="1"/>
  <c r="Q11" i="10" s="1"/>
  <c r="T10" i="10"/>
  <c r="V10" i="10" s="1"/>
  <c r="S10" i="10"/>
  <c r="O10" i="10"/>
  <c r="P10" i="10" s="1"/>
  <c r="Q10" i="10" s="1"/>
  <c r="T9" i="10"/>
  <c r="S9" i="10"/>
  <c r="O9" i="10"/>
  <c r="P9" i="10" s="1"/>
  <c r="Q9" i="10" s="1"/>
  <c r="T8" i="10"/>
  <c r="S8" i="10"/>
  <c r="O8" i="10"/>
  <c r="P8" i="10" s="1"/>
  <c r="Q8" i="10" s="1"/>
  <c r="T7" i="10"/>
  <c r="S7" i="10"/>
  <c r="O7" i="10"/>
  <c r="P7" i="10" s="1"/>
  <c r="Q7" i="10" s="1"/>
  <c r="B7" i="10"/>
  <c r="T6" i="10"/>
  <c r="S6" i="10"/>
  <c r="O6" i="10"/>
  <c r="P6" i="10" s="1"/>
  <c r="Q6" i="10" s="1"/>
  <c r="E6" i="10"/>
  <c r="V34" i="10" l="1"/>
  <c r="U36" i="10"/>
  <c r="U35" i="10"/>
  <c r="V36" i="10"/>
  <c r="U33" i="10"/>
  <c r="V28" i="10"/>
  <c r="V30" i="10"/>
  <c r="V26" i="10"/>
  <c r="U34" i="10"/>
  <c r="V33" i="10"/>
  <c r="U30" i="10"/>
  <c r="U29" i="10"/>
  <c r="V29" i="10"/>
  <c r="U28" i="10"/>
  <c r="U27" i="10"/>
  <c r="V27" i="10"/>
  <c r="U26" i="10"/>
  <c r="U23" i="10"/>
  <c r="U22" i="10"/>
  <c r="V22" i="10"/>
  <c r="V21" i="10"/>
  <c r="U21" i="10"/>
  <c r="U20" i="10"/>
  <c r="V20" i="10"/>
  <c r="V19" i="10"/>
  <c r="U19" i="10"/>
  <c r="P16" i="10"/>
  <c r="Q16" i="10" s="1"/>
  <c r="B13" i="10" s="1"/>
  <c r="V16" i="10"/>
  <c r="U15" i="10"/>
  <c r="V15" i="10"/>
  <c r="V9" i="10"/>
  <c r="V14" i="10"/>
  <c r="U14" i="10"/>
  <c r="V12" i="10"/>
  <c r="U13" i="10"/>
  <c r="V13" i="10"/>
  <c r="U12" i="10"/>
  <c r="V8" i="10"/>
  <c r="V7" i="10"/>
  <c r="U6" i="10"/>
  <c r="U32" i="10"/>
  <c r="V32" i="10"/>
  <c r="U31" i="10"/>
  <c r="V31" i="10"/>
  <c r="U25" i="10"/>
  <c r="V25" i="10"/>
  <c r="U24" i="10"/>
  <c r="V24" i="10"/>
  <c r="V18" i="10"/>
  <c r="U18" i="10"/>
  <c r="V17" i="10"/>
  <c r="U17" i="10"/>
  <c r="V11" i="10"/>
  <c r="U11" i="10"/>
  <c r="U10" i="10"/>
  <c r="V6" i="10"/>
  <c r="U7" i="10"/>
  <c r="U9" i="10"/>
  <c r="B10" i="10"/>
  <c r="U8" i="10"/>
  <c r="D36" i="9"/>
  <c r="T36" i="9" l="1"/>
  <c r="S36" i="9"/>
  <c r="V36" i="9" s="1"/>
  <c r="O36" i="9"/>
  <c r="P36" i="9" s="1"/>
  <c r="Q36" i="9" s="1"/>
  <c r="T35" i="9"/>
  <c r="S35" i="9"/>
  <c r="O35" i="9"/>
  <c r="P35" i="9" s="1"/>
  <c r="Q35" i="9" s="1"/>
  <c r="T34" i="9"/>
  <c r="S34" i="9"/>
  <c r="O34" i="9"/>
  <c r="P34" i="9" s="1"/>
  <c r="Q34" i="9" s="1"/>
  <c r="T33" i="9"/>
  <c r="S33" i="9"/>
  <c r="O33" i="9"/>
  <c r="P33" i="9" s="1"/>
  <c r="Q33" i="9" s="1"/>
  <c r="T32" i="9"/>
  <c r="S32" i="9"/>
  <c r="O32" i="9"/>
  <c r="P32" i="9" s="1"/>
  <c r="Q32" i="9" s="1"/>
  <c r="T31" i="9"/>
  <c r="S31" i="9"/>
  <c r="O31" i="9"/>
  <c r="P31" i="9" s="1"/>
  <c r="Q31" i="9" s="1"/>
  <c r="T30" i="9"/>
  <c r="S30" i="9"/>
  <c r="O30" i="9"/>
  <c r="T29" i="9"/>
  <c r="S29" i="9"/>
  <c r="O29" i="9"/>
  <c r="P29" i="9" s="1"/>
  <c r="Q29" i="9" s="1"/>
  <c r="T28" i="9"/>
  <c r="S28" i="9"/>
  <c r="O28" i="9"/>
  <c r="P28" i="9" s="1"/>
  <c r="Q28" i="9" s="1"/>
  <c r="T27" i="9"/>
  <c r="S27" i="9"/>
  <c r="O27" i="9"/>
  <c r="P27" i="9" s="1"/>
  <c r="Q27" i="9" s="1"/>
  <c r="T26" i="9"/>
  <c r="S26" i="9"/>
  <c r="O26" i="9"/>
  <c r="T25" i="9"/>
  <c r="S25" i="9"/>
  <c r="O25" i="9"/>
  <c r="P25" i="9" s="1"/>
  <c r="Q25" i="9" s="1"/>
  <c r="T24" i="9"/>
  <c r="S24" i="9"/>
  <c r="O24" i="9"/>
  <c r="P24" i="9" s="1"/>
  <c r="Q24" i="9" s="1"/>
  <c r="T23" i="9"/>
  <c r="S23" i="9"/>
  <c r="O23" i="9"/>
  <c r="P23" i="9" s="1"/>
  <c r="Q23" i="9" s="1"/>
  <c r="T22" i="9"/>
  <c r="S22" i="9"/>
  <c r="O22" i="9"/>
  <c r="P22" i="9" s="1"/>
  <c r="Q22" i="9" s="1"/>
  <c r="T21" i="9"/>
  <c r="S21" i="9"/>
  <c r="O21" i="9"/>
  <c r="P21" i="9" s="1"/>
  <c r="Q21" i="9" s="1"/>
  <c r="T20" i="9"/>
  <c r="S20" i="9"/>
  <c r="O20" i="9"/>
  <c r="P20" i="9" s="1"/>
  <c r="Q20" i="9" s="1"/>
  <c r="T19" i="9"/>
  <c r="S19" i="9"/>
  <c r="O19" i="9"/>
  <c r="P19" i="9" s="1"/>
  <c r="Q19" i="9" s="1"/>
  <c r="T18" i="9"/>
  <c r="S18" i="9"/>
  <c r="O18" i="9"/>
  <c r="P18" i="9" s="1"/>
  <c r="Q18" i="9" s="1"/>
  <c r="T17" i="9"/>
  <c r="S17" i="9"/>
  <c r="O17" i="9"/>
  <c r="P17" i="9" s="1"/>
  <c r="Q17" i="9" s="1"/>
  <c r="T16" i="9"/>
  <c r="S16" i="9"/>
  <c r="O16" i="9"/>
  <c r="P16" i="9" s="1"/>
  <c r="Q16" i="9" s="1"/>
  <c r="T15" i="9"/>
  <c r="S15" i="9"/>
  <c r="O15" i="9"/>
  <c r="P15" i="9" s="1"/>
  <c r="Q15" i="9" s="1"/>
  <c r="T14" i="9"/>
  <c r="S14" i="9"/>
  <c r="O14" i="9"/>
  <c r="P14" i="9" s="1"/>
  <c r="Q14" i="9" s="1"/>
  <c r="T13" i="9"/>
  <c r="S13" i="9"/>
  <c r="O13" i="9"/>
  <c r="P13" i="9" s="1"/>
  <c r="Q13" i="9" s="1"/>
  <c r="T12" i="9"/>
  <c r="S12" i="9"/>
  <c r="O12" i="9"/>
  <c r="P12" i="9" s="1"/>
  <c r="Q12" i="9" s="1"/>
  <c r="T11" i="9"/>
  <c r="S11" i="9"/>
  <c r="O11" i="9"/>
  <c r="P11" i="9" s="1"/>
  <c r="Q11" i="9" s="1"/>
  <c r="T10" i="9"/>
  <c r="S10" i="9"/>
  <c r="O10" i="9"/>
  <c r="P10" i="9" s="1"/>
  <c r="Q10" i="9" s="1"/>
  <c r="T9" i="9"/>
  <c r="S9" i="9"/>
  <c r="O9" i="9"/>
  <c r="P9" i="9" s="1"/>
  <c r="Q9" i="9" s="1"/>
  <c r="T8" i="9"/>
  <c r="S8" i="9"/>
  <c r="O8" i="9"/>
  <c r="P8" i="9" s="1"/>
  <c r="Q8" i="9" s="1"/>
  <c r="T7" i="9"/>
  <c r="S7" i="9"/>
  <c r="O7" i="9"/>
  <c r="P7" i="9" s="1"/>
  <c r="Q7" i="9" s="1"/>
  <c r="D7" i="9"/>
  <c r="B7" i="9"/>
  <c r="T6" i="9"/>
  <c r="S6" i="9"/>
  <c r="O6" i="9"/>
  <c r="D6" i="9"/>
  <c r="E6" i="9" s="1"/>
  <c r="V35" i="9" l="1"/>
  <c r="V32" i="9"/>
  <c r="V31" i="9"/>
  <c r="V30" i="9"/>
  <c r="U30" i="9"/>
  <c r="P30" i="9"/>
  <c r="Q30" i="9" s="1"/>
  <c r="U29" i="9"/>
  <c r="V29" i="9"/>
  <c r="V28" i="9"/>
  <c r="U25" i="9"/>
  <c r="V25" i="9"/>
  <c r="V24" i="9"/>
  <c r="V23" i="9"/>
  <c r="V22" i="9"/>
  <c r="U22" i="9"/>
  <c r="U21" i="9"/>
  <c r="V21" i="9"/>
  <c r="V18" i="9"/>
  <c r="U18" i="9"/>
  <c r="V17" i="9"/>
  <c r="U17" i="9"/>
  <c r="B13" i="9"/>
  <c r="V14" i="9"/>
  <c r="U14" i="9"/>
  <c r="V11" i="9"/>
  <c r="U11" i="9"/>
  <c r="V10" i="9"/>
  <c r="U10" i="9"/>
  <c r="V8" i="9"/>
  <c r="U8" i="9"/>
  <c r="V7" i="9"/>
  <c r="U7" i="9"/>
  <c r="V34" i="9"/>
  <c r="U34" i="9"/>
  <c r="U33" i="9"/>
  <c r="V33" i="9"/>
  <c r="V27" i="9"/>
  <c r="V26" i="9"/>
  <c r="U26" i="9"/>
  <c r="P26" i="9"/>
  <c r="Q26" i="9" s="1"/>
  <c r="V20" i="9"/>
  <c r="V19" i="9"/>
  <c r="U13" i="9"/>
  <c r="V13" i="9"/>
  <c r="V9" i="9"/>
  <c r="U9" i="9"/>
  <c r="V6" i="9"/>
  <c r="U6" i="9"/>
  <c r="V16" i="9"/>
  <c r="U16" i="9"/>
  <c r="B10" i="9"/>
  <c r="P6" i="9"/>
  <c r="Q6" i="9" s="1"/>
  <c r="D8" i="9"/>
  <c r="E7" i="9"/>
  <c r="V15" i="9"/>
  <c r="U15" i="9"/>
  <c r="V12" i="9"/>
  <c r="U12" i="9"/>
  <c r="U19" i="9"/>
  <c r="U35" i="9"/>
  <c r="U23" i="9"/>
  <c r="U27" i="9"/>
  <c r="U31" i="9"/>
  <c r="U20" i="9"/>
  <c r="U36" i="9"/>
  <c r="U24" i="9"/>
  <c r="U28" i="9"/>
  <c r="U32" i="9"/>
  <c r="O7" i="7"/>
  <c r="O6" i="7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6" i="8"/>
  <c r="P6" i="8"/>
  <c r="P7" i="7"/>
  <c r="P6" i="7"/>
  <c r="P8" i="7"/>
  <c r="P9" i="7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P31" i="7"/>
  <c r="P32" i="7"/>
  <c r="P33" i="7"/>
  <c r="P34" i="7"/>
  <c r="P35" i="7"/>
  <c r="P36" i="7"/>
  <c r="Q6" i="8"/>
  <c r="D9" i="9" l="1"/>
  <c r="E8" i="9"/>
  <c r="T36" i="8"/>
  <c r="S36" i="8"/>
  <c r="O36" i="8"/>
  <c r="Q36" i="8" s="1"/>
  <c r="T35" i="8"/>
  <c r="S35" i="8"/>
  <c r="O35" i="8"/>
  <c r="P35" i="8" s="1"/>
  <c r="Q35" i="8" s="1"/>
  <c r="T34" i="8"/>
  <c r="S34" i="8"/>
  <c r="O34" i="8"/>
  <c r="P34" i="8" s="1"/>
  <c r="Q34" i="8" s="1"/>
  <c r="T33" i="8"/>
  <c r="S33" i="8"/>
  <c r="O33" i="8"/>
  <c r="T32" i="8"/>
  <c r="S32" i="8"/>
  <c r="O32" i="8"/>
  <c r="P32" i="8" s="1"/>
  <c r="T31" i="8"/>
  <c r="S31" i="8"/>
  <c r="O31" i="8"/>
  <c r="T30" i="8"/>
  <c r="S30" i="8"/>
  <c r="O30" i="8"/>
  <c r="Q30" i="8" s="1"/>
  <c r="T29" i="8"/>
  <c r="S29" i="8"/>
  <c r="O29" i="8"/>
  <c r="Q29" i="8" s="1"/>
  <c r="T28" i="8"/>
  <c r="S28" i="8"/>
  <c r="O28" i="8"/>
  <c r="Q28" i="8" s="1"/>
  <c r="T27" i="8"/>
  <c r="S27" i="8"/>
  <c r="O27" i="8"/>
  <c r="Q27" i="8" s="1"/>
  <c r="T26" i="8"/>
  <c r="S26" i="8"/>
  <c r="O26" i="8"/>
  <c r="Q26" i="8" s="1"/>
  <c r="T25" i="8"/>
  <c r="S25" i="8"/>
  <c r="O25" i="8"/>
  <c r="Q25" i="8" s="1"/>
  <c r="T24" i="8"/>
  <c r="S24" i="8"/>
  <c r="O24" i="8"/>
  <c r="Q24" i="8" s="1"/>
  <c r="T23" i="8"/>
  <c r="S23" i="8"/>
  <c r="O23" i="8"/>
  <c r="Q23" i="8" s="1"/>
  <c r="T22" i="8"/>
  <c r="S22" i="8"/>
  <c r="O22" i="8"/>
  <c r="Q22" i="8" s="1"/>
  <c r="T21" i="8"/>
  <c r="S21" i="8"/>
  <c r="O21" i="8"/>
  <c r="Q21" i="8" s="1"/>
  <c r="T20" i="8"/>
  <c r="S20" i="8"/>
  <c r="O20" i="8"/>
  <c r="Q20" i="8" s="1"/>
  <c r="T19" i="8"/>
  <c r="S19" i="8"/>
  <c r="O19" i="8"/>
  <c r="Q19" i="8" s="1"/>
  <c r="T18" i="8"/>
  <c r="S18" i="8"/>
  <c r="O18" i="8"/>
  <c r="Q18" i="8" s="1"/>
  <c r="T17" i="8"/>
  <c r="S17" i="8"/>
  <c r="O17" i="8"/>
  <c r="Q17" i="8" s="1"/>
  <c r="T16" i="8"/>
  <c r="S16" i="8"/>
  <c r="O16" i="8"/>
  <c r="Q16" i="8" s="1"/>
  <c r="T15" i="8"/>
  <c r="S15" i="8"/>
  <c r="O15" i="8"/>
  <c r="Q15" i="8" s="1"/>
  <c r="T14" i="8"/>
  <c r="S14" i="8"/>
  <c r="O14" i="8"/>
  <c r="T13" i="8"/>
  <c r="S13" i="8"/>
  <c r="O13" i="8"/>
  <c r="Q13" i="8" s="1"/>
  <c r="T12" i="8"/>
  <c r="S12" i="8"/>
  <c r="O12" i="8"/>
  <c r="Q12" i="8" s="1"/>
  <c r="T11" i="8"/>
  <c r="S11" i="8"/>
  <c r="O11" i="8"/>
  <c r="Q11" i="8" s="1"/>
  <c r="T10" i="8"/>
  <c r="S10" i="8"/>
  <c r="O10" i="8"/>
  <c r="Q10" i="8" s="1"/>
  <c r="T9" i="8"/>
  <c r="S9" i="8"/>
  <c r="O9" i="8"/>
  <c r="Q9" i="8" s="1"/>
  <c r="T8" i="8"/>
  <c r="S8" i="8"/>
  <c r="O8" i="8"/>
  <c r="Q8" i="8" s="1"/>
  <c r="T7" i="8"/>
  <c r="S7" i="8"/>
  <c r="O7" i="8"/>
  <c r="Q7" i="8" s="1"/>
  <c r="B7" i="8"/>
  <c r="T6" i="8"/>
  <c r="S6" i="8"/>
  <c r="O6" i="8"/>
  <c r="D6" i="8"/>
  <c r="E6" i="8" s="1"/>
  <c r="E9" i="9" l="1"/>
  <c r="D10" i="9"/>
  <c r="V35" i="8"/>
  <c r="V34" i="8"/>
  <c r="U34" i="8"/>
  <c r="P33" i="8"/>
  <c r="Q33" i="8" s="1"/>
  <c r="U33" i="8"/>
  <c r="P31" i="8"/>
  <c r="Q31" i="8" s="1"/>
  <c r="V31" i="8"/>
  <c r="Q32" i="8"/>
  <c r="V27" i="8"/>
  <c r="V26" i="8"/>
  <c r="U26" i="8"/>
  <c r="U25" i="8"/>
  <c r="U21" i="8"/>
  <c r="V19" i="8"/>
  <c r="V18" i="8"/>
  <c r="U18" i="8"/>
  <c r="U17" i="8"/>
  <c r="V14" i="8"/>
  <c r="U14" i="8"/>
  <c r="Q14" i="8"/>
  <c r="U13" i="8"/>
  <c r="V12" i="8"/>
  <c r="V11" i="8"/>
  <c r="U11" i="8"/>
  <c r="U10" i="8"/>
  <c r="U7" i="8"/>
  <c r="V6" i="8"/>
  <c r="V30" i="8"/>
  <c r="U30" i="8"/>
  <c r="U29" i="8"/>
  <c r="V23" i="8"/>
  <c r="V22" i="8"/>
  <c r="U22" i="8"/>
  <c r="V15" i="8"/>
  <c r="B10" i="8"/>
  <c r="U8" i="8"/>
  <c r="V8" i="8"/>
  <c r="D7" i="8"/>
  <c r="V16" i="8"/>
  <c r="U16" i="8"/>
  <c r="U6" i="8"/>
  <c r="V9" i="8"/>
  <c r="V10" i="8"/>
  <c r="V13" i="8"/>
  <c r="V17" i="8"/>
  <c r="V20" i="8"/>
  <c r="U20" i="8"/>
  <c r="V21" i="8"/>
  <c r="V24" i="8"/>
  <c r="U24" i="8"/>
  <c r="V25" i="8"/>
  <c r="V28" i="8"/>
  <c r="U28" i="8"/>
  <c r="V29" i="8"/>
  <c r="V32" i="8"/>
  <c r="U32" i="8"/>
  <c r="V33" i="8"/>
  <c r="V36" i="8"/>
  <c r="U36" i="8"/>
  <c r="V7" i="8"/>
  <c r="U9" i="8"/>
  <c r="U12" i="8"/>
  <c r="U15" i="8"/>
  <c r="U19" i="8"/>
  <c r="U23" i="8"/>
  <c r="U27" i="8"/>
  <c r="U31" i="8"/>
  <c r="U35" i="8"/>
  <c r="Q33" i="5"/>
  <c r="P33" i="5"/>
  <c r="D11" i="9" l="1"/>
  <c r="E10" i="9"/>
  <c r="B13" i="8"/>
  <c r="E7" i="8"/>
  <c r="D8" i="8"/>
  <c r="O32" i="5"/>
  <c r="O27" i="5"/>
  <c r="O26" i="5"/>
  <c r="O25" i="5"/>
  <c r="D12" i="9" l="1"/>
  <c r="E11" i="9"/>
  <c r="D9" i="8"/>
  <c r="E8" i="8"/>
  <c r="T12" i="5"/>
  <c r="E12" i="9" l="1"/>
  <c r="D13" i="9"/>
  <c r="E9" i="8"/>
  <c r="D10" i="8"/>
  <c r="T19" i="5"/>
  <c r="S19" i="5"/>
  <c r="Q19" i="5"/>
  <c r="P19" i="5"/>
  <c r="O19" i="5"/>
  <c r="E13" i="9" l="1"/>
  <c r="D14" i="9"/>
  <c r="D11" i="8"/>
  <c r="E10" i="8"/>
  <c r="S7" i="5"/>
  <c r="S8" i="5"/>
  <c r="S9" i="5"/>
  <c r="S10" i="5"/>
  <c r="S11" i="5"/>
  <c r="S12" i="5"/>
  <c r="S13" i="5"/>
  <c r="S14" i="5"/>
  <c r="S15" i="5"/>
  <c r="S16" i="5"/>
  <c r="S17" i="5"/>
  <c r="S18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D15" i="9" l="1"/>
  <c r="E14" i="9"/>
  <c r="D12" i="8"/>
  <c r="E11" i="8"/>
  <c r="O12" i="5"/>
  <c r="D16" i="9" l="1"/>
  <c r="E15" i="9"/>
  <c r="E12" i="8"/>
  <c r="D13" i="8"/>
  <c r="E36" i="7"/>
  <c r="T36" i="7"/>
  <c r="S36" i="7"/>
  <c r="O36" i="7"/>
  <c r="Q36" i="7" s="1"/>
  <c r="T35" i="7"/>
  <c r="S35" i="7"/>
  <c r="O35" i="7"/>
  <c r="Q35" i="7" s="1"/>
  <c r="V34" i="7"/>
  <c r="T34" i="7"/>
  <c r="S34" i="7"/>
  <c r="U34" i="7" s="1"/>
  <c r="O34" i="7"/>
  <c r="Q34" i="7" s="1"/>
  <c r="V33" i="7"/>
  <c r="U33" i="7"/>
  <c r="T33" i="7"/>
  <c r="S33" i="7"/>
  <c r="Q33" i="7"/>
  <c r="O33" i="7"/>
  <c r="T32" i="7"/>
  <c r="S32" i="7"/>
  <c r="O32" i="7"/>
  <c r="Q32" i="7" s="1"/>
  <c r="T31" i="7"/>
  <c r="S31" i="7"/>
  <c r="O31" i="7"/>
  <c r="Q31" i="7" s="1"/>
  <c r="V30" i="7"/>
  <c r="T30" i="7"/>
  <c r="S30" i="7"/>
  <c r="U30" i="7" s="1"/>
  <c r="O30" i="7"/>
  <c r="Q30" i="7" s="1"/>
  <c r="V29" i="7"/>
  <c r="U29" i="7"/>
  <c r="T29" i="7"/>
  <c r="S29" i="7"/>
  <c r="Q29" i="7"/>
  <c r="O29" i="7"/>
  <c r="T28" i="7"/>
  <c r="S28" i="7"/>
  <c r="O28" i="7"/>
  <c r="Q28" i="7" s="1"/>
  <c r="T27" i="7"/>
  <c r="S27" i="7"/>
  <c r="O27" i="7"/>
  <c r="Q27" i="7" s="1"/>
  <c r="T26" i="7"/>
  <c r="S26" i="7"/>
  <c r="U26" i="7" s="1"/>
  <c r="O26" i="7"/>
  <c r="Q26" i="7" s="1"/>
  <c r="T25" i="7"/>
  <c r="V25" i="7" s="1"/>
  <c r="S25" i="7"/>
  <c r="O25" i="7"/>
  <c r="Q25" i="7" s="1"/>
  <c r="T24" i="7"/>
  <c r="S24" i="7"/>
  <c r="O24" i="7"/>
  <c r="Q24" i="7" s="1"/>
  <c r="T23" i="7"/>
  <c r="S23" i="7"/>
  <c r="O23" i="7"/>
  <c r="Q23" i="7" s="1"/>
  <c r="T22" i="7"/>
  <c r="V22" i="7" s="1"/>
  <c r="S22" i="7"/>
  <c r="O22" i="7"/>
  <c r="Q22" i="7" s="1"/>
  <c r="V21" i="7"/>
  <c r="U21" i="7"/>
  <c r="T21" i="7"/>
  <c r="S21" i="7"/>
  <c r="Q21" i="7"/>
  <c r="O21" i="7"/>
  <c r="T20" i="7"/>
  <c r="S20" i="7"/>
  <c r="O20" i="7"/>
  <c r="U20" i="7" s="1"/>
  <c r="T19" i="7"/>
  <c r="S19" i="7"/>
  <c r="O19" i="7"/>
  <c r="Q19" i="7" s="1"/>
  <c r="V18" i="7"/>
  <c r="T18" i="7"/>
  <c r="S18" i="7"/>
  <c r="O18" i="7"/>
  <c r="Q18" i="7" s="1"/>
  <c r="V17" i="7"/>
  <c r="U17" i="7"/>
  <c r="T17" i="7"/>
  <c r="S17" i="7"/>
  <c r="Q17" i="7"/>
  <c r="O17" i="7"/>
  <c r="T16" i="7"/>
  <c r="S16" i="7"/>
  <c r="O16" i="7"/>
  <c r="Q16" i="7" s="1"/>
  <c r="T15" i="7"/>
  <c r="S15" i="7"/>
  <c r="O15" i="7"/>
  <c r="Q15" i="7" s="1"/>
  <c r="V14" i="7"/>
  <c r="T14" i="7"/>
  <c r="S14" i="7"/>
  <c r="U14" i="7" s="1"/>
  <c r="O14" i="7"/>
  <c r="Q14" i="7" s="1"/>
  <c r="V13" i="7"/>
  <c r="U13" i="7"/>
  <c r="T13" i="7"/>
  <c r="S13" i="7"/>
  <c r="Q13" i="7"/>
  <c r="O13" i="7"/>
  <c r="T12" i="7"/>
  <c r="S12" i="7"/>
  <c r="O12" i="7"/>
  <c r="V12" i="7" s="1"/>
  <c r="T11" i="7"/>
  <c r="S11" i="7"/>
  <c r="O11" i="7"/>
  <c r="Q11" i="7" s="1"/>
  <c r="T10" i="7"/>
  <c r="S10" i="7"/>
  <c r="O10" i="7"/>
  <c r="Q10" i="7" s="1"/>
  <c r="T9" i="7"/>
  <c r="S9" i="7"/>
  <c r="O9" i="7"/>
  <c r="Q9" i="7" s="1"/>
  <c r="T8" i="7"/>
  <c r="S8" i="7"/>
  <c r="U8" i="7" s="1"/>
  <c r="Q8" i="7"/>
  <c r="O8" i="7"/>
  <c r="V7" i="7"/>
  <c r="U7" i="7"/>
  <c r="T7" i="7"/>
  <c r="S7" i="7"/>
  <c r="Q7" i="7"/>
  <c r="B7" i="7"/>
  <c r="T6" i="7"/>
  <c r="S6" i="7"/>
  <c r="V6" i="7" s="1"/>
  <c r="Q6" i="7"/>
  <c r="T47" i="5"/>
  <c r="O47" i="5"/>
  <c r="P47" i="5" s="1"/>
  <c r="Q47" i="5" s="1"/>
  <c r="T46" i="5"/>
  <c r="O46" i="5"/>
  <c r="P46" i="5" s="1"/>
  <c r="Q46" i="5" s="1"/>
  <c r="T45" i="5"/>
  <c r="O45" i="5"/>
  <c r="P45" i="5" s="1"/>
  <c r="Q45" i="5" s="1"/>
  <c r="T44" i="5"/>
  <c r="O44" i="5"/>
  <c r="P44" i="5" s="1"/>
  <c r="Q44" i="5" s="1"/>
  <c r="T43" i="5"/>
  <c r="O43" i="5"/>
  <c r="P43" i="5" s="1"/>
  <c r="Q43" i="5" s="1"/>
  <c r="T42" i="5"/>
  <c r="O42" i="5"/>
  <c r="P42" i="5" s="1"/>
  <c r="Q42" i="5" s="1"/>
  <c r="T41" i="5"/>
  <c r="O41" i="5"/>
  <c r="P41" i="5" s="1"/>
  <c r="Q41" i="5" s="1"/>
  <c r="T40" i="5"/>
  <c r="O40" i="5"/>
  <c r="P40" i="5" s="1"/>
  <c r="Q40" i="5" s="1"/>
  <c r="T39" i="5"/>
  <c r="O39" i="5"/>
  <c r="P39" i="5" s="1"/>
  <c r="Q39" i="5" s="1"/>
  <c r="T38" i="5"/>
  <c r="O38" i="5"/>
  <c r="P38" i="5" s="1"/>
  <c r="Q38" i="5" s="1"/>
  <c r="T37" i="5"/>
  <c r="O37" i="5"/>
  <c r="P37" i="5" s="1"/>
  <c r="Q37" i="5" s="1"/>
  <c r="T36" i="5"/>
  <c r="O36" i="5"/>
  <c r="P36" i="5" s="1"/>
  <c r="Q36" i="5" s="1"/>
  <c r="T35" i="5"/>
  <c r="O35" i="5"/>
  <c r="P35" i="5" s="1"/>
  <c r="Q35" i="5" s="1"/>
  <c r="T34" i="5"/>
  <c r="O34" i="5"/>
  <c r="P34" i="5" s="1"/>
  <c r="Q34" i="5" s="1"/>
  <c r="T33" i="5"/>
  <c r="O33" i="5"/>
  <c r="T32" i="5"/>
  <c r="P32" i="5"/>
  <c r="Q32" i="5" s="1"/>
  <c r="T31" i="5"/>
  <c r="O31" i="5"/>
  <c r="P31" i="5" s="1"/>
  <c r="Q31" i="5" s="1"/>
  <c r="T30" i="5"/>
  <c r="O30" i="5"/>
  <c r="P30" i="5" s="1"/>
  <c r="Q30" i="5" s="1"/>
  <c r="T29" i="5"/>
  <c r="O29" i="5"/>
  <c r="P29" i="5" s="1"/>
  <c r="Q29" i="5" s="1"/>
  <c r="T28" i="5"/>
  <c r="O28" i="5"/>
  <c r="P28" i="5" s="1"/>
  <c r="Q28" i="5" s="1"/>
  <c r="T27" i="5"/>
  <c r="P27" i="5"/>
  <c r="Q27" i="5" s="1"/>
  <c r="T26" i="5"/>
  <c r="P26" i="5"/>
  <c r="Q26" i="5" s="1"/>
  <c r="T25" i="5"/>
  <c r="P25" i="5"/>
  <c r="Q25" i="5" s="1"/>
  <c r="T24" i="5"/>
  <c r="O24" i="5"/>
  <c r="P24" i="5" s="1"/>
  <c r="Q24" i="5" s="1"/>
  <c r="T23" i="5"/>
  <c r="O23" i="5"/>
  <c r="P23" i="5" s="1"/>
  <c r="Q23" i="5" s="1"/>
  <c r="T22" i="5"/>
  <c r="O22" i="5"/>
  <c r="P22" i="5" s="1"/>
  <c r="Q22" i="5" s="1"/>
  <c r="T21" i="5"/>
  <c r="O21" i="5"/>
  <c r="T20" i="5"/>
  <c r="O20" i="5"/>
  <c r="P20" i="5" s="1"/>
  <c r="Q20" i="5" s="1"/>
  <c r="T18" i="5"/>
  <c r="O18" i="5"/>
  <c r="P18" i="5" s="1"/>
  <c r="Q18" i="5" s="1"/>
  <c r="T17" i="5"/>
  <c r="O17" i="5"/>
  <c r="P17" i="5" s="1"/>
  <c r="Q17" i="5" s="1"/>
  <c r="T16" i="5"/>
  <c r="O16" i="5"/>
  <c r="P16" i="5" s="1"/>
  <c r="Q16" i="5" s="1"/>
  <c r="T15" i="5"/>
  <c r="O15" i="5"/>
  <c r="P15" i="5" s="1"/>
  <c r="Q15" i="5" s="1"/>
  <c r="T14" i="5"/>
  <c r="O14" i="5"/>
  <c r="P14" i="5" s="1"/>
  <c r="Q14" i="5" s="1"/>
  <c r="T13" i="5"/>
  <c r="O13" i="5"/>
  <c r="P13" i="5" s="1"/>
  <c r="Q13" i="5" s="1"/>
  <c r="V12" i="5"/>
  <c r="U12" i="5"/>
  <c r="P12" i="5"/>
  <c r="Q12" i="5" s="1"/>
  <c r="T11" i="5"/>
  <c r="O11" i="5"/>
  <c r="P11" i="5" s="1"/>
  <c r="Q11" i="5" s="1"/>
  <c r="T10" i="5"/>
  <c r="O10" i="5"/>
  <c r="P10" i="5" s="1"/>
  <c r="Q10" i="5" s="1"/>
  <c r="T9" i="5"/>
  <c r="O9" i="5"/>
  <c r="P9" i="5" s="1"/>
  <c r="Q9" i="5" s="1"/>
  <c r="T8" i="5"/>
  <c r="O8" i="5"/>
  <c r="P8" i="5" s="1"/>
  <c r="Q8" i="5" s="1"/>
  <c r="T7" i="5"/>
  <c r="O7" i="5"/>
  <c r="P7" i="5" s="1"/>
  <c r="Q7" i="5" s="1"/>
  <c r="B7" i="5"/>
  <c r="T6" i="5"/>
  <c r="S6" i="5"/>
  <c r="O6" i="5"/>
  <c r="V6" i="5" s="1"/>
  <c r="D17" i="9" l="1"/>
  <c r="E16" i="9"/>
  <c r="D14" i="8"/>
  <c r="E13" i="8"/>
  <c r="V18" i="5"/>
  <c r="V25" i="5"/>
  <c r="V26" i="5"/>
  <c r="V29" i="5"/>
  <c r="V30" i="5"/>
  <c r="V33" i="5"/>
  <c r="V34" i="5"/>
  <c r="V37" i="5"/>
  <c r="V38" i="5"/>
  <c r="V41" i="5"/>
  <c r="V42" i="5"/>
  <c r="V45" i="5"/>
  <c r="V46" i="5"/>
  <c r="V11" i="5"/>
  <c r="V21" i="5"/>
  <c r="U25" i="5"/>
  <c r="U29" i="5"/>
  <c r="U33" i="5"/>
  <c r="U37" i="5"/>
  <c r="U41" i="5"/>
  <c r="U45" i="5"/>
  <c r="U18" i="5"/>
  <c r="V19" i="5"/>
  <c r="U26" i="5"/>
  <c r="U28" i="5"/>
  <c r="U30" i="5"/>
  <c r="V31" i="5"/>
  <c r="V32" i="5"/>
  <c r="U34" i="5"/>
  <c r="V35" i="5"/>
  <c r="U36" i="5"/>
  <c r="U38" i="5"/>
  <c r="V39" i="5"/>
  <c r="V40" i="5"/>
  <c r="U42" i="5"/>
  <c r="V43" i="5"/>
  <c r="V44" i="5"/>
  <c r="U46" i="5"/>
  <c r="V47" i="5"/>
  <c r="U25" i="7"/>
  <c r="U18" i="7"/>
  <c r="V26" i="7"/>
  <c r="U22" i="7"/>
  <c r="U12" i="7"/>
  <c r="Q12" i="7"/>
  <c r="V11" i="7"/>
  <c r="E27" i="7"/>
  <c r="E20" i="7"/>
  <c r="E35" i="7"/>
  <c r="E13" i="7"/>
  <c r="E32" i="7"/>
  <c r="E25" i="7"/>
  <c r="E19" i="7"/>
  <c r="E11" i="7"/>
  <c r="E6" i="7"/>
  <c r="E31" i="7"/>
  <c r="E24" i="7"/>
  <c r="E16" i="7"/>
  <c r="E9" i="7"/>
  <c r="E29" i="7"/>
  <c r="E21" i="7"/>
  <c r="E15" i="7"/>
  <c r="E8" i="7"/>
  <c r="E33" i="7"/>
  <c r="E28" i="7"/>
  <c r="E23" i="7"/>
  <c r="E17" i="7"/>
  <c r="E12" i="7"/>
  <c r="E7" i="7"/>
  <c r="E34" i="7"/>
  <c r="E30" i="7"/>
  <c r="E26" i="7"/>
  <c r="E22" i="7"/>
  <c r="E18" i="7"/>
  <c r="E14" i="7"/>
  <c r="E10" i="7"/>
  <c r="U6" i="7"/>
  <c r="U24" i="7"/>
  <c r="U28" i="7"/>
  <c r="U32" i="7"/>
  <c r="U36" i="7"/>
  <c r="U16" i="7"/>
  <c r="V8" i="7"/>
  <c r="B10" i="7"/>
  <c r="U11" i="7"/>
  <c r="Q20" i="7"/>
  <c r="V15" i="7"/>
  <c r="U15" i="7"/>
  <c r="V19" i="7"/>
  <c r="U19" i="7"/>
  <c r="V23" i="7"/>
  <c r="U23" i="7"/>
  <c r="V27" i="7"/>
  <c r="U27" i="7"/>
  <c r="V31" i="7"/>
  <c r="U31" i="7"/>
  <c r="V35" i="7"/>
  <c r="U35" i="7"/>
  <c r="V9" i="7"/>
  <c r="U9" i="7"/>
  <c r="V10" i="7"/>
  <c r="U10" i="7"/>
  <c r="V16" i="7"/>
  <c r="V20" i="7"/>
  <c r="V24" i="7"/>
  <c r="V28" i="7"/>
  <c r="V32" i="7"/>
  <c r="V36" i="7"/>
  <c r="U6" i="5"/>
  <c r="P6" i="5"/>
  <c r="Q6" i="5" s="1"/>
  <c r="V22" i="5"/>
  <c r="V14" i="5"/>
  <c r="V17" i="5"/>
  <c r="V13" i="5"/>
  <c r="U17" i="5"/>
  <c r="U13" i="5"/>
  <c r="V7" i="5"/>
  <c r="V10" i="5"/>
  <c r="V27" i="5"/>
  <c r="U21" i="5"/>
  <c r="P21" i="5"/>
  <c r="Q21" i="5" s="1"/>
  <c r="V20" i="5"/>
  <c r="U22" i="5"/>
  <c r="V23" i="5"/>
  <c r="U24" i="5"/>
  <c r="U14" i="5"/>
  <c r="V15" i="5"/>
  <c r="V16" i="5"/>
  <c r="V9" i="5"/>
  <c r="U8" i="5"/>
  <c r="U7" i="5"/>
  <c r="V8" i="5"/>
  <c r="U11" i="5"/>
  <c r="U20" i="5"/>
  <c r="U40" i="5"/>
  <c r="U44" i="5"/>
  <c r="B10" i="5"/>
  <c r="U16" i="5"/>
  <c r="U32" i="5"/>
  <c r="U9" i="5"/>
  <c r="U10" i="5"/>
  <c r="U15" i="5"/>
  <c r="U19" i="5"/>
  <c r="U23" i="5"/>
  <c r="V24" i="5"/>
  <c r="U27" i="5"/>
  <c r="V28" i="5"/>
  <c r="U31" i="5"/>
  <c r="U35" i="5"/>
  <c r="V36" i="5"/>
  <c r="U39" i="5"/>
  <c r="U43" i="5"/>
  <c r="U47" i="5"/>
  <c r="B13" i="4"/>
  <c r="D18" i="9" l="1"/>
  <c r="E17" i="9"/>
  <c r="D15" i="8"/>
  <c r="E14" i="8"/>
  <c r="B13" i="5"/>
  <c r="B13" i="7"/>
  <c r="B13" i="1"/>
  <c r="D19" i="9" l="1"/>
  <c r="E18" i="9"/>
  <c r="D16" i="8"/>
  <c r="E15" i="8"/>
  <c r="T47" i="4"/>
  <c r="S47" i="4"/>
  <c r="V47" i="4" s="1"/>
  <c r="O47" i="4"/>
  <c r="P47" i="4" s="1"/>
  <c r="Q47" i="4" s="1"/>
  <c r="V46" i="4"/>
  <c r="T46" i="4"/>
  <c r="S46" i="4"/>
  <c r="U46" i="4" s="1"/>
  <c r="O46" i="4"/>
  <c r="P46" i="4" s="1"/>
  <c r="Q46" i="4" s="1"/>
  <c r="V45" i="4"/>
  <c r="U45" i="4"/>
  <c r="T45" i="4"/>
  <c r="S45" i="4"/>
  <c r="P45" i="4"/>
  <c r="Q45" i="4" s="1"/>
  <c r="O45" i="4"/>
  <c r="T44" i="4"/>
  <c r="V44" i="4" s="1"/>
  <c r="S44" i="4"/>
  <c r="O44" i="4"/>
  <c r="P44" i="4" s="1"/>
  <c r="Q44" i="4" s="1"/>
  <c r="T43" i="4"/>
  <c r="S43" i="4"/>
  <c r="V43" i="4" s="1"/>
  <c r="O43" i="4"/>
  <c r="P43" i="4" s="1"/>
  <c r="Q43" i="4" s="1"/>
  <c r="V42" i="4"/>
  <c r="T42" i="4"/>
  <c r="S42" i="4"/>
  <c r="U42" i="4" s="1"/>
  <c r="O42" i="4"/>
  <c r="P42" i="4" s="1"/>
  <c r="Q42" i="4" s="1"/>
  <c r="V41" i="4"/>
  <c r="U41" i="4"/>
  <c r="T41" i="4"/>
  <c r="S41" i="4"/>
  <c r="P41" i="4"/>
  <c r="Q41" i="4" s="1"/>
  <c r="O41" i="4"/>
  <c r="T40" i="4"/>
  <c r="V40" i="4" s="1"/>
  <c r="S40" i="4"/>
  <c r="O40" i="4"/>
  <c r="P40" i="4" s="1"/>
  <c r="Q40" i="4" s="1"/>
  <c r="T39" i="4"/>
  <c r="S39" i="4"/>
  <c r="V39" i="4" s="1"/>
  <c r="O39" i="4"/>
  <c r="P39" i="4" s="1"/>
  <c r="Q39" i="4" s="1"/>
  <c r="V38" i="4"/>
  <c r="T38" i="4"/>
  <c r="S38" i="4"/>
  <c r="U38" i="4" s="1"/>
  <c r="O38" i="4"/>
  <c r="P38" i="4" s="1"/>
  <c r="Q38" i="4" s="1"/>
  <c r="V37" i="4"/>
  <c r="U37" i="4"/>
  <c r="T37" i="4"/>
  <c r="S37" i="4"/>
  <c r="P37" i="4"/>
  <c r="Q37" i="4" s="1"/>
  <c r="O37" i="4"/>
  <c r="T36" i="4"/>
  <c r="V36" i="4" s="1"/>
  <c r="S36" i="4"/>
  <c r="O36" i="4"/>
  <c r="P36" i="4" s="1"/>
  <c r="Q36" i="4" s="1"/>
  <c r="T35" i="4"/>
  <c r="S35" i="4"/>
  <c r="V35" i="4" s="1"/>
  <c r="O35" i="4"/>
  <c r="P35" i="4" s="1"/>
  <c r="Q35" i="4" s="1"/>
  <c r="V34" i="4"/>
  <c r="T34" i="4"/>
  <c r="S34" i="4"/>
  <c r="U34" i="4" s="1"/>
  <c r="O34" i="4"/>
  <c r="P34" i="4" s="1"/>
  <c r="Q34" i="4" s="1"/>
  <c r="V33" i="4"/>
  <c r="U33" i="4"/>
  <c r="T33" i="4"/>
  <c r="S33" i="4"/>
  <c r="P33" i="4"/>
  <c r="Q33" i="4" s="1"/>
  <c r="O33" i="4"/>
  <c r="T32" i="4"/>
  <c r="U32" i="4" s="1"/>
  <c r="S32" i="4"/>
  <c r="O32" i="4"/>
  <c r="P32" i="4" s="1"/>
  <c r="Q32" i="4" s="1"/>
  <c r="T31" i="4"/>
  <c r="S31" i="4"/>
  <c r="V31" i="4" s="1"/>
  <c r="O31" i="4"/>
  <c r="P31" i="4" s="1"/>
  <c r="Q31" i="4" s="1"/>
  <c r="V30" i="4"/>
  <c r="T30" i="4"/>
  <c r="S30" i="4"/>
  <c r="U30" i="4" s="1"/>
  <c r="O30" i="4"/>
  <c r="P30" i="4" s="1"/>
  <c r="Q30" i="4" s="1"/>
  <c r="T29" i="4"/>
  <c r="S29" i="4"/>
  <c r="O29" i="4"/>
  <c r="P29" i="4" s="1"/>
  <c r="Q29" i="4" s="1"/>
  <c r="T28" i="4"/>
  <c r="S28" i="4"/>
  <c r="O28" i="4"/>
  <c r="P28" i="4" s="1"/>
  <c r="Q28" i="4" s="1"/>
  <c r="T27" i="4"/>
  <c r="S27" i="4"/>
  <c r="O27" i="4"/>
  <c r="P27" i="4" s="1"/>
  <c r="Q27" i="4" s="1"/>
  <c r="T26" i="4"/>
  <c r="S26" i="4"/>
  <c r="O26" i="4"/>
  <c r="P26" i="4" s="1"/>
  <c r="Q26" i="4" s="1"/>
  <c r="T25" i="4"/>
  <c r="S25" i="4"/>
  <c r="O25" i="4"/>
  <c r="P25" i="4" s="1"/>
  <c r="Q25" i="4" s="1"/>
  <c r="T24" i="4"/>
  <c r="S24" i="4"/>
  <c r="O24" i="4"/>
  <c r="P24" i="4" s="1"/>
  <c r="Q24" i="4" s="1"/>
  <c r="T23" i="4"/>
  <c r="S23" i="4"/>
  <c r="O23" i="4"/>
  <c r="P23" i="4" s="1"/>
  <c r="Q23" i="4" s="1"/>
  <c r="T22" i="4"/>
  <c r="S22" i="4"/>
  <c r="O22" i="4"/>
  <c r="V22" i="4" s="1"/>
  <c r="T21" i="4"/>
  <c r="S21" i="4"/>
  <c r="O21" i="4"/>
  <c r="T20" i="4"/>
  <c r="S20" i="4"/>
  <c r="O20" i="4"/>
  <c r="P20" i="4" s="1"/>
  <c r="Q20" i="4" s="1"/>
  <c r="T19" i="4"/>
  <c r="S19" i="4"/>
  <c r="O19" i="4"/>
  <c r="P19" i="4" s="1"/>
  <c r="Q19" i="4" s="1"/>
  <c r="T18" i="4"/>
  <c r="S18" i="4"/>
  <c r="O18" i="4"/>
  <c r="T17" i="4"/>
  <c r="S17" i="4"/>
  <c r="O17" i="4"/>
  <c r="P17" i="4" s="1"/>
  <c r="Q17" i="4" s="1"/>
  <c r="T16" i="4"/>
  <c r="S16" i="4"/>
  <c r="O16" i="4"/>
  <c r="P16" i="4" s="1"/>
  <c r="Q16" i="4" s="1"/>
  <c r="T15" i="4"/>
  <c r="S15" i="4"/>
  <c r="O15" i="4"/>
  <c r="P15" i="4" s="1"/>
  <c r="Q15" i="4" s="1"/>
  <c r="T14" i="4"/>
  <c r="S14" i="4"/>
  <c r="O14" i="4"/>
  <c r="T13" i="4"/>
  <c r="S13" i="4"/>
  <c r="O13" i="4"/>
  <c r="P13" i="4" s="1"/>
  <c r="Q13" i="4" s="1"/>
  <c r="T12" i="4"/>
  <c r="S12" i="4"/>
  <c r="O12" i="4"/>
  <c r="P12" i="4" s="1"/>
  <c r="Q12" i="4" s="1"/>
  <c r="T11" i="4"/>
  <c r="S11" i="4"/>
  <c r="O11" i="4"/>
  <c r="P11" i="4" s="1"/>
  <c r="Q11" i="4" s="1"/>
  <c r="T10" i="4"/>
  <c r="S10" i="4"/>
  <c r="O10" i="4"/>
  <c r="P10" i="4" s="1"/>
  <c r="Q10" i="4" s="1"/>
  <c r="T9" i="4"/>
  <c r="S9" i="4"/>
  <c r="O9" i="4"/>
  <c r="P9" i="4" s="1"/>
  <c r="Q9" i="4" s="1"/>
  <c r="T8" i="4"/>
  <c r="S8" i="4"/>
  <c r="O8" i="4"/>
  <c r="P8" i="4" s="1"/>
  <c r="Q8" i="4" s="1"/>
  <c r="T7" i="4"/>
  <c r="S7" i="4"/>
  <c r="O7" i="4"/>
  <c r="B7" i="4"/>
  <c r="T6" i="4"/>
  <c r="S6" i="4"/>
  <c r="O6" i="4"/>
  <c r="P6" i="4" s="1"/>
  <c r="Q6" i="4" s="1"/>
  <c r="D20" i="9" l="1"/>
  <c r="E19" i="9"/>
  <c r="D17" i="8"/>
  <c r="E16" i="8"/>
  <c r="V21" i="4"/>
  <c r="V14" i="4"/>
  <c r="V7" i="4"/>
  <c r="U13" i="4"/>
  <c r="U8" i="4"/>
  <c r="P21" i="4"/>
  <c r="Q21" i="4" s="1"/>
  <c r="U21" i="4"/>
  <c r="U29" i="4"/>
  <c r="V13" i="4"/>
  <c r="V29" i="4"/>
  <c r="V17" i="4"/>
  <c r="V10" i="4"/>
  <c r="U17" i="4"/>
  <c r="V6" i="4"/>
  <c r="U6" i="4"/>
  <c r="V26" i="4"/>
  <c r="V25" i="4"/>
  <c r="U25" i="4"/>
  <c r="V18" i="4"/>
  <c r="V12" i="4"/>
  <c r="U11" i="4"/>
  <c r="V24" i="4"/>
  <c r="V28" i="4"/>
  <c r="V23" i="4"/>
  <c r="U24" i="4"/>
  <c r="U26" i="4"/>
  <c r="V27" i="4"/>
  <c r="U28" i="4"/>
  <c r="U7" i="4"/>
  <c r="P7" i="4"/>
  <c r="Q7" i="4" s="1"/>
  <c r="V9" i="4"/>
  <c r="U12" i="4"/>
  <c r="V16" i="4"/>
  <c r="V20" i="4"/>
  <c r="U22" i="4"/>
  <c r="U14" i="4"/>
  <c r="V15" i="4"/>
  <c r="U16" i="4"/>
  <c r="U18" i="4"/>
  <c r="V19" i="4"/>
  <c r="U20" i="4"/>
  <c r="P22" i="4"/>
  <c r="Q22" i="4" s="1"/>
  <c r="V8" i="4"/>
  <c r="V11" i="4"/>
  <c r="B10" i="4"/>
  <c r="U36" i="4"/>
  <c r="U40" i="4"/>
  <c r="U44" i="4"/>
  <c r="U9" i="4"/>
  <c r="U10" i="4"/>
  <c r="U15" i="4"/>
  <c r="U19" i="4"/>
  <c r="U23" i="4"/>
  <c r="U27" i="4"/>
  <c r="U31" i="4"/>
  <c r="V32" i="4"/>
  <c r="U35" i="4"/>
  <c r="U39" i="4"/>
  <c r="U43" i="4"/>
  <c r="U47" i="4"/>
  <c r="P14" i="4"/>
  <c r="Q14" i="4" s="1"/>
  <c r="P18" i="4"/>
  <c r="Q18" i="4" s="1"/>
  <c r="P17" i="1"/>
  <c r="P18" i="1"/>
  <c r="P19" i="1"/>
  <c r="P20" i="1"/>
  <c r="Q20" i="1" s="1"/>
  <c r="P23" i="1"/>
  <c r="P24" i="1"/>
  <c r="Q24" i="1" s="1"/>
  <c r="P30" i="1"/>
  <c r="P31" i="1"/>
  <c r="Q31" i="1" s="1"/>
  <c r="P32" i="1"/>
  <c r="P33" i="1"/>
  <c r="P34" i="1"/>
  <c r="P35" i="1"/>
  <c r="P36" i="1"/>
  <c r="Q36" i="1" s="1"/>
  <c r="P37" i="1"/>
  <c r="P38" i="1"/>
  <c r="P39" i="1"/>
  <c r="P40" i="1"/>
  <c r="Q40" i="1" s="1"/>
  <c r="P41" i="1"/>
  <c r="P42" i="1"/>
  <c r="Q42" i="1" s="1"/>
  <c r="P43" i="1"/>
  <c r="Q43" i="1" s="1"/>
  <c r="P44" i="1"/>
  <c r="Q44" i="1" s="1"/>
  <c r="P45" i="1"/>
  <c r="P46" i="1"/>
  <c r="P47" i="1"/>
  <c r="Q47" i="1" s="1"/>
  <c r="P6" i="1"/>
  <c r="P7" i="1"/>
  <c r="P8" i="1"/>
  <c r="P9" i="1"/>
  <c r="Q9" i="1" s="1"/>
  <c r="P10" i="1"/>
  <c r="P11" i="1"/>
  <c r="Q11" i="1" s="1"/>
  <c r="P12" i="1"/>
  <c r="Q12" i="1" s="1"/>
  <c r="P13" i="1"/>
  <c r="Q13" i="1" s="1"/>
  <c r="P14" i="1"/>
  <c r="P15" i="1"/>
  <c r="P16" i="1"/>
  <c r="Q10" i="1"/>
  <c r="Q14" i="1"/>
  <c r="Q15" i="1"/>
  <c r="Q17" i="1"/>
  <c r="Q18" i="1"/>
  <c r="Q19" i="1"/>
  <c r="Q23" i="1"/>
  <c r="Q30" i="1"/>
  <c r="Q33" i="1"/>
  <c r="Q34" i="1"/>
  <c r="Q35" i="1"/>
  <c r="Q37" i="1"/>
  <c r="Q38" i="1"/>
  <c r="Q39" i="1"/>
  <c r="Q41" i="1"/>
  <c r="Q45" i="1"/>
  <c r="Q46" i="1"/>
  <c r="Q6" i="1"/>
  <c r="Q8" i="1"/>
  <c r="Q16" i="1"/>
  <c r="Q32" i="1"/>
  <c r="Q7" i="1"/>
  <c r="V8" i="1"/>
  <c r="V9" i="1"/>
  <c r="V10" i="1"/>
  <c r="V11" i="1"/>
  <c r="V12" i="1"/>
  <c r="V13" i="1"/>
  <c r="V14" i="1"/>
  <c r="V15" i="1"/>
  <c r="V16" i="1"/>
  <c r="V17" i="1"/>
  <c r="V18" i="1"/>
  <c r="V1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U8" i="1"/>
  <c r="U9" i="1"/>
  <c r="U10" i="1"/>
  <c r="U11" i="1"/>
  <c r="U12" i="1"/>
  <c r="U13" i="1"/>
  <c r="U14" i="1"/>
  <c r="U15" i="1"/>
  <c r="U16" i="1"/>
  <c r="U17" i="1"/>
  <c r="U18" i="1"/>
  <c r="U1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V20" i="1" s="1"/>
  <c r="S21" i="1"/>
  <c r="S22" i="1"/>
  <c r="S23" i="1"/>
  <c r="V23" i="1" s="1"/>
  <c r="S24" i="1"/>
  <c r="V24" i="1" s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V7" i="1"/>
  <c r="U7" i="1"/>
  <c r="T7" i="1"/>
  <c r="S7" i="1"/>
  <c r="O18" i="1"/>
  <c r="O19" i="1"/>
  <c r="O20" i="1"/>
  <c r="O21" i="1"/>
  <c r="P21" i="1" s="1"/>
  <c r="Q21" i="1" s="1"/>
  <c r="O22" i="1"/>
  <c r="P22" i="1" s="1"/>
  <c r="Q22" i="1" s="1"/>
  <c r="O23" i="1"/>
  <c r="O24" i="1"/>
  <c r="O25" i="1"/>
  <c r="P25" i="1" s="1"/>
  <c r="Q25" i="1" s="1"/>
  <c r="O26" i="1"/>
  <c r="P26" i="1" s="1"/>
  <c r="Q26" i="1" s="1"/>
  <c r="O27" i="1"/>
  <c r="P27" i="1" s="1"/>
  <c r="Q27" i="1" s="1"/>
  <c r="O28" i="1"/>
  <c r="P28" i="1" s="1"/>
  <c r="Q28" i="1" s="1"/>
  <c r="O29" i="1"/>
  <c r="P29" i="1" s="1"/>
  <c r="Q29" i="1" s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8" i="1"/>
  <c r="O9" i="1"/>
  <c r="O10" i="1"/>
  <c r="O11" i="1"/>
  <c r="O12" i="1"/>
  <c r="O13" i="1"/>
  <c r="O14" i="1"/>
  <c r="O15" i="1"/>
  <c r="O16" i="1"/>
  <c r="O17" i="1"/>
  <c r="O7" i="1"/>
  <c r="O6" i="1"/>
  <c r="V6" i="1"/>
  <c r="U6" i="1"/>
  <c r="T6" i="1"/>
  <c r="S6" i="1"/>
  <c r="E20" i="9" l="1"/>
  <c r="D21" i="9"/>
  <c r="D18" i="8"/>
  <c r="E17" i="8"/>
  <c r="V28" i="1"/>
  <c r="U26" i="1"/>
  <c r="V29" i="1"/>
  <c r="V25" i="1"/>
  <c r="V26" i="1"/>
  <c r="U28" i="1"/>
  <c r="U27" i="1"/>
  <c r="U29" i="1"/>
  <c r="U25" i="1"/>
  <c r="V27" i="1"/>
  <c r="U22" i="1"/>
  <c r="V22" i="1"/>
  <c r="V21" i="1"/>
  <c r="U21" i="1"/>
  <c r="B10" i="1"/>
  <c r="U20" i="1"/>
  <c r="U23" i="1"/>
  <c r="U24" i="1"/>
  <c r="D22" i="9" l="1"/>
  <c r="E21" i="9"/>
  <c r="D19" i="8"/>
  <c r="E18" i="8"/>
  <c r="B7" i="1"/>
  <c r="D23" i="9" l="1"/>
  <c r="E22" i="9"/>
  <c r="D20" i="8"/>
  <c r="E19" i="8"/>
  <c r="D24" i="9" l="1"/>
  <c r="E23" i="9"/>
  <c r="E20" i="8"/>
  <c r="D21" i="8"/>
  <c r="D25" i="9" l="1"/>
  <c r="E24" i="9"/>
  <c r="D22" i="8"/>
  <c r="E21" i="8"/>
  <c r="D26" i="9" l="1"/>
  <c r="E25" i="9"/>
  <c r="D23" i="8"/>
  <c r="E22" i="8"/>
  <c r="D27" i="9" l="1"/>
  <c r="E26" i="9"/>
  <c r="D24" i="8"/>
  <c r="E23" i="8"/>
  <c r="D28" i="9" l="1"/>
  <c r="E27" i="9"/>
  <c r="E24" i="8"/>
  <c r="D25" i="8"/>
  <c r="D29" i="9" l="1"/>
  <c r="E28" i="9"/>
  <c r="D26" i="8"/>
  <c r="E25" i="8"/>
  <c r="D30" i="9" l="1"/>
  <c r="E29" i="9"/>
  <c r="D27" i="8"/>
  <c r="E26" i="8"/>
  <c r="D31" i="9" l="1"/>
  <c r="E30" i="9"/>
  <c r="D28" i="8"/>
  <c r="E27" i="8"/>
  <c r="D32" i="9" l="1"/>
  <c r="E31" i="9"/>
  <c r="D29" i="8"/>
  <c r="E28" i="8"/>
  <c r="D33" i="9" l="1"/>
  <c r="E32" i="9"/>
  <c r="D30" i="8"/>
  <c r="E29" i="8"/>
  <c r="D34" i="9" l="1"/>
  <c r="E33" i="9"/>
  <c r="D31" i="8"/>
  <c r="E30" i="8"/>
  <c r="D35" i="9" l="1"/>
  <c r="E34" i="9"/>
  <c r="D32" i="8"/>
  <c r="E31" i="8"/>
  <c r="E36" i="9" l="1"/>
  <c r="E35" i="9"/>
  <c r="D33" i="8"/>
  <c r="E32" i="8"/>
  <c r="D34" i="8" l="1"/>
  <c r="E33" i="8"/>
  <c r="D35" i="8" l="1"/>
  <c r="E34" i="8"/>
  <c r="D36" i="8" l="1"/>
  <c r="E36" i="8" s="1"/>
  <c r="E35" i="8"/>
</calcChain>
</file>

<file path=xl/sharedStrings.xml><?xml version="1.0" encoding="utf-8"?>
<sst xmlns="http://schemas.openxmlformats.org/spreadsheetml/2006/main" count="728" uniqueCount="19">
  <si>
    <t>Day</t>
  </si>
  <si>
    <t>Start</t>
  </si>
  <si>
    <t>End</t>
  </si>
  <si>
    <t>Times</t>
  </si>
  <si>
    <t>Daily time [h]</t>
  </si>
  <si>
    <t>Lunch time [h]</t>
  </si>
  <si>
    <t>Hour [h]</t>
  </si>
  <si>
    <t>Minute [min]</t>
  </si>
  <si>
    <t>Total time [h]</t>
  </si>
  <si>
    <t>Worked time [h]</t>
  </si>
  <si>
    <t>Flex time [h]</t>
  </si>
  <si>
    <t>Sum worked time [h]</t>
  </si>
  <si>
    <t>Sum flex time [h]</t>
  </si>
  <si>
    <t>Home office</t>
  </si>
  <si>
    <t>Clock-in/-out</t>
  </si>
  <si>
    <t>Booking time system</t>
  </si>
  <si>
    <t>-</t>
  </si>
  <si>
    <t>Select month (number)</t>
  </si>
  <si>
    <t>vacation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</si>
</sst>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FF37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0" fillId="0" borderId="1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0" fillId="0" borderId="6" xfId="0" applyNumberFormat="1" applyFont="1" applyBorder="1" applyAlignment="1">
      <alignment horizontal="center" vertical="center"/>
    </xf>
    <xf numFmtId="16" fontId="0" fillId="0" borderId="10" xfId="0" applyNumberFormat="1" applyFont="1" applyBorder="1" applyAlignment="1">
      <alignment horizontal="center" vertical="center"/>
    </xf>
    <xf numFmtId="16" fontId="0" fillId="0" borderId="10" xfId="0" applyNumberFormat="1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2" fontId="0" fillId="0" borderId="14" xfId="0" applyNumberFormat="1" applyFont="1" applyBorder="1" applyAlignment="1">
      <alignment horizontal="center" vertical="center"/>
    </xf>
    <xf numFmtId="2" fontId="0" fillId="0" borderId="0" xfId="0" applyNumberFormat="1" applyFont="1" applyBorder="1" applyAlignment="1">
      <alignment horizontal="center" vertical="center"/>
    </xf>
    <xf numFmtId="2" fontId="0" fillId="0" borderId="15" xfId="0" applyNumberFormat="1" applyFont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2" fontId="0" fillId="0" borderId="5" xfId="0" applyNumberFormat="1" applyFont="1" applyBorder="1" applyAlignment="1">
      <alignment horizontal="center" vertical="center"/>
    </xf>
    <xf numFmtId="2" fontId="0" fillId="0" borderId="9" xfId="0" applyNumberFormat="1" applyFont="1" applyBorder="1" applyAlignment="1">
      <alignment horizontal="center" vertical="center"/>
    </xf>
    <xf numFmtId="2" fontId="0" fillId="0" borderId="5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" fontId="0" fillId="0" borderId="7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2" fontId="0" fillId="0" borderId="11" xfId="0" applyNumberFormat="1" applyFont="1" applyBorder="1" applyAlignment="1">
      <alignment horizontal="center" vertical="center"/>
    </xf>
    <xf numFmtId="2" fontId="0" fillId="0" borderId="12" xfId="0" applyNumberFormat="1" applyFont="1" applyBorder="1" applyAlignment="1">
      <alignment horizontal="center" vertical="center"/>
    </xf>
    <xf numFmtId="2" fontId="0" fillId="0" borderId="13" xfId="0" applyNumberFormat="1" applyFont="1" applyBorder="1" applyAlignment="1">
      <alignment horizontal="center" vertical="center"/>
    </xf>
    <xf numFmtId="2" fontId="0" fillId="0" borderId="8" xfId="0" applyNumberFormat="1" applyFont="1" applyBorder="1" applyAlignment="1">
      <alignment horizontal="center" vertical="center"/>
    </xf>
    <xf numFmtId="0" fontId="0" fillId="0" borderId="10" xfId="0" applyBorder="1"/>
    <xf numFmtId="16" fontId="0" fillId="0" borderId="0" xfId="0" applyNumberFormat="1" applyFont="1" applyBorder="1" applyAlignment="1">
      <alignment horizontal="center"/>
    </xf>
    <xf numFmtId="0" fontId="0" fillId="9" borderId="0" xfId="0" applyFill="1" applyBorder="1"/>
    <xf numFmtId="0" fontId="0" fillId="0" borderId="0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16" fontId="0" fillId="0" borderId="0" xfId="0" applyNumberFormat="1"/>
    <xf numFmtId="16" fontId="0" fillId="0" borderId="7" xfId="0" applyNumberFormat="1" applyFont="1" applyBorder="1" applyAlignment="1">
      <alignment horizontal="center" vertical="center"/>
    </xf>
    <xf numFmtId="0" fontId="0" fillId="0" borderId="6" xfId="0" applyBorder="1"/>
    <xf numFmtId="0" fontId="0" fillId="2" borderId="7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2" fontId="0" fillId="0" borderId="12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12" xfId="0" applyBorder="1"/>
    <xf numFmtId="0" fontId="1" fillId="0" borderId="12" xfId="0" applyFont="1" applyBorder="1" applyAlignment="1">
      <alignment horizontal="center"/>
    </xf>
    <xf numFmtId="0" fontId="0" fillId="0" borderId="4" xfId="0" applyBorder="1"/>
    <xf numFmtId="0" fontId="0" fillId="0" borderId="3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1" fillId="6" borderId="2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5" borderId="11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</cellXfs>
  <cellStyles count="1">
    <cellStyle name="Normal" xfId="0" builtinId="0"/>
  </cellStyles>
  <dxfs count="22"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numFmt numFmtId="2" formatCode="0.00"/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7FF37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</xdr:colOff>
      <xdr:row>21</xdr:row>
      <xdr:rowOff>167640</xdr:rowOff>
    </xdr:from>
    <xdr:to>
      <xdr:col>24</xdr:col>
      <xdr:colOff>3810</xdr:colOff>
      <xdr:row>23</xdr:row>
      <xdr:rowOff>167640</xdr:rowOff>
    </xdr:to>
    <xdr:cxnSp macro="">
      <xdr:nvCxnSpPr>
        <xdr:cNvPr id="2" name="Straight Connector 1"/>
        <xdr:cNvCxnSpPr/>
      </xdr:nvCxnSpPr>
      <xdr:spPr>
        <a:xfrm flipV="1">
          <a:off x="14986635" y="368236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</xdr:colOff>
      <xdr:row>22</xdr:row>
      <xdr:rowOff>160020</xdr:rowOff>
    </xdr:from>
    <xdr:to>
      <xdr:col>25</xdr:col>
      <xdr:colOff>3810</xdr:colOff>
      <xdr:row>24</xdr:row>
      <xdr:rowOff>160020</xdr:rowOff>
    </xdr:to>
    <xdr:cxnSp macro="">
      <xdr:nvCxnSpPr>
        <xdr:cNvPr id="3" name="Straight Connector 2"/>
        <xdr:cNvCxnSpPr/>
      </xdr:nvCxnSpPr>
      <xdr:spPr>
        <a:xfrm flipV="1">
          <a:off x="15596235" y="384619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601980</xdr:colOff>
      <xdr:row>22</xdr:row>
      <xdr:rowOff>0</xdr:rowOff>
    </xdr:from>
    <xdr:to>
      <xdr:col>24</xdr:col>
      <xdr:colOff>601980</xdr:colOff>
      <xdr:row>24</xdr:row>
      <xdr:rowOff>0</xdr:rowOff>
    </xdr:to>
    <xdr:cxnSp macro="">
      <xdr:nvCxnSpPr>
        <xdr:cNvPr id="4" name="Straight Connector 3"/>
        <xdr:cNvCxnSpPr/>
      </xdr:nvCxnSpPr>
      <xdr:spPr>
        <a:xfrm flipV="1">
          <a:off x="15584805" y="368617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603885</xdr:colOff>
      <xdr:row>22</xdr:row>
      <xdr:rowOff>163830</xdr:rowOff>
    </xdr:from>
    <xdr:to>
      <xdr:col>23</xdr:col>
      <xdr:colOff>603885</xdr:colOff>
      <xdr:row>24</xdr:row>
      <xdr:rowOff>163830</xdr:rowOff>
    </xdr:to>
    <xdr:cxnSp macro="">
      <xdr:nvCxnSpPr>
        <xdr:cNvPr id="5" name="Straight Connector 4"/>
        <xdr:cNvCxnSpPr/>
      </xdr:nvCxnSpPr>
      <xdr:spPr>
        <a:xfrm flipV="1">
          <a:off x="14977110" y="385000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</xdr:colOff>
      <xdr:row>21</xdr:row>
      <xdr:rowOff>167640</xdr:rowOff>
    </xdr:from>
    <xdr:to>
      <xdr:col>24</xdr:col>
      <xdr:colOff>3810</xdr:colOff>
      <xdr:row>23</xdr:row>
      <xdr:rowOff>167640</xdr:rowOff>
    </xdr:to>
    <xdr:cxnSp macro="">
      <xdr:nvCxnSpPr>
        <xdr:cNvPr id="3" name="Straight Connector 2"/>
        <xdr:cNvCxnSpPr/>
      </xdr:nvCxnSpPr>
      <xdr:spPr>
        <a:xfrm flipV="1">
          <a:off x="15003780" y="369951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</xdr:colOff>
      <xdr:row>22</xdr:row>
      <xdr:rowOff>160020</xdr:rowOff>
    </xdr:from>
    <xdr:to>
      <xdr:col>25</xdr:col>
      <xdr:colOff>3810</xdr:colOff>
      <xdr:row>24</xdr:row>
      <xdr:rowOff>160020</xdr:rowOff>
    </xdr:to>
    <xdr:cxnSp macro="">
      <xdr:nvCxnSpPr>
        <xdr:cNvPr id="4" name="Straight Connector 3"/>
        <xdr:cNvCxnSpPr/>
      </xdr:nvCxnSpPr>
      <xdr:spPr>
        <a:xfrm flipV="1">
          <a:off x="15613380" y="386334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601980</xdr:colOff>
      <xdr:row>22</xdr:row>
      <xdr:rowOff>0</xdr:rowOff>
    </xdr:from>
    <xdr:to>
      <xdr:col>24</xdr:col>
      <xdr:colOff>601980</xdr:colOff>
      <xdr:row>24</xdr:row>
      <xdr:rowOff>0</xdr:rowOff>
    </xdr:to>
    <xdr:cxnSp macro="">
      <xdr:nvCxnSpPr>
        <xdr:cNvPr id="5" name="Straight Connector 4"/>
        <xdr:cNvCxnSpPr/>
      </xdr:nvCxnSpPr>
      <xdr:spPr>
        <a:xfrm flipV="1">
          <a:off x="15601950" y="370332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603885</xdr:colOff>
      <xdr:row>22</xdr:row>
      <xdr:rowOff>163830</xdr:rowOff>
    </xdr:from>
    <xdr:to>
      <xdr:col>23</xdr:col>
      <xdr:colOff>603885</xdr:colOff>
      <xdr:row>24</xdr:row>
      <xdr:rowOff>163830</xdr:rowOff>
    </xdr:to>
    <xdr:cxnSp macro="">
      <xdr:nvCxnSpPr>
        <xdr:cNvPr id="6" name="Straight Connector 5"/>
        <xdr:cNvCxnSpPr/>
      </xdr:nvCxnSpPr>
      <xdr:spPr>
        <a:xfrm flipV="1">
          <a:off x="14994255" y="386715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</xdr:colOff>
      <xdr:row>21</xdr:row>
      <xdr:rowOff>167640</xdr:rowOff>
    </xdr:from>
    <xdr:to>
      <xdr:col>24</xdr:col>
      <xdr:colOff>3810</xdr:colOff>
      <xdr:row>23</xdr:row>
      <xdr:rowOff>167640</xdr:rowOff>
    </xdr:to>
    <xdr:cxnSp macro="">
      <xdr:nvCxnSpPr>
        <xdr:cNvPr id="2" name="Straight Connector 1"/>
        <xdr:cNvCxnSpPr/>
      </xdr:nvCxnSpPr>
      <xdr:spPr>
        <a:xfrm flipV="1">
          <a:off x="14986635" y="368236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</xdr:colOff>
      <xdr:row>22</xdr:row>
      <xdr:rowOff>160020</xdr:rowOff>
    </xdr:from>
    <xdr:to>
      <xdr:col>25</xdr:col>
      <xdr:colOff>3810</xdr:colOff>
      <xdr:row>24</xdr:row>
      <xdr:rowOff>160020</xdr:rowOff>
    </xdr:to>
    <xdr:cxnSp macro="">
      <xdr:nvCxnSpPr>
        <xdr:cNvPr id="3" name="Straight Connector 2"/>
        <xdr:cNvCxnSpPr/>
      </xdr:nvCxnSpPr>
      <xdr:spPr>
        <a:xfrm flipV="1">
          <a:off x="15596235" y="384619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601980</xdr:colOff>
      <xdr:row>22</xdr:row>
      <xdr:rowOff>0</xdr:rowOff>
    </xdr:from>
    <xdr:to>
      <xdr:col>24</xdr:col>
      <xdr:colOff>601980</xdr:colOff>
      <xdr:row>24</xdr:row>
      <xdr:rowOff>0</xdr:rowOff>
    </xdr:to>
    <xdr:cxnSp macro="">
      <xdr:nvCxnSpPr>
        <xdr:cNvPr id="4" name="Straight Connector 3"/>
        <xdr:cNvCxnSpPr/>
      </xdr:nvCxnSpPr>
      <xdr:spPr>
        <a:xfrm flipV="1">
          <a:off x="15584805" y="368617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603885</xdr:colOff>
      <xdr:row>22</xdr:row>
      <xdr:rowOff>163830</xdr:rowOff>
    </xdr:from>
    <xdr:to>
      <xdr:col>23</xdr:col>
      <xdr:colOff>603885</xdr:colOff>
      <xdr:row>24</xdr:row>
      <xdr:rowOff>163830</xdr:rowOff>
    </xdr:to>
    <xdr:cxnSp macro="">
      <xdr:nvCxnSpPr>
        <xdr:cNvPr id="5" name="Straight Connector 4"/>
        <xdr:cNvCxnSpPr/>
      </xdr:nvCxnSpPr>
      <xdr:spPr>
        <a:xfrm flipV="1">
          <a:off x="14977110" y="385000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</xdr:colOff>
      <xdr:row>21</xdr:row>
      <xdr:rowOff>167640</xdr:rowOff>
    </xdr:from>
    <xdr:to>
      <xdr:col>24</xdr:col>
      <xdr:colOff>3810</xdr:colOff>
      <xdr:row>23</xdr:row>
      <xdr:rowOff>167640</xdr:rowOff>
    </xdr:to>
    <xdr:cxnSp macro="">
      <xdr:nvCxnSpPr>
        <xdr:cNvPr id="2" name="Straight Connector 1"/>
        <xdr:cNvCxnSpPr/>
      </xdr:nvCxnSpPr>
      <xdr:spPr>
        <a:xfrm flipV="1">
          <a:off x="14986635" y="368236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</xdr:colOff>
      <xdr:row>22</xdr:row>
      <xdr:rowOff>160020</xdr:rowOff>
    </xdr:from>
    <xdr:to>
      <xdr:col>25</xdr:col>
      <xdr:colOff>3810</xdr:colOff>
      <xdr:row>24</xdr:row>
      <xdr:rowOff>160020</xdr:rowOff>
    </xdr:to>
    <xdr:cxnSp macro="">
      <xdr:nvCxnSpPr>
        <xdr:cNvPr id="3" name="Straight Connector 2"/>
        <xdr:cNvCxnSpPr/>
      </xdr:nvCxnSpPr>
      <xdr:spPr>
        <a:xfrm flipV="1">
          <a:off x="15596235" y="384619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601980</xdr:colOff>
      <xdr:row>22</xdr:row>
      <xdr:rowOff>0</xdr:rowOff>
    </xdr:from>
    <xdr:to>
      <xdr:col>24</xdr:col>
      <xdr:colOff>601980</xdr:colOff>
      <xdr:row>24</xdr:row>
      <xdr:rowOff>0</xdr:rowOff>
    </xdr:to>
    <xdr:cxnSp macro="">
      <xdr:nvCxnSpPr>
        <xdr:cNvPr id="4" name="Straight Connector 3"/>
        <xdr:cNvCxnSpPr/>
      </xdr:nvCxnSpPr>
      <xdr:spPr>
        <a:xfrm flipV="1">
          <a:off x="15584805" y="368617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603885</xdr:colOff>
      <xdr:row>22</xdr:row>
      <xdr:rowOff>163830</xdr:rowOff>
    </xdr:from>
    <xdr:to>
      <xdr:col>23</xdr:col>
      <xdr:colOff>603885</xdr:colOff>
      <xdr:row>24</xdr:row>
      <xdr:rowOff>163830</xdr:rowOff>
    </xdr:to>
    <xdr:cxnSp macro="">
      <xdr:nvCxnSpPr>
        <xdr:cNvPr id="5" name="Straight Connector 4"/>
        <xdr:cNvCxnSpPr/>
      </xdr:nvCxnSpPr>
      <xdr:spPr>
        <a:xfrm flipV="1">
          <a:off x="14977110" y="385000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603885</xdr:colOff>
      <xdr:row>22</xdr:row>
      <xdr:rowOff>169545</xdr:rowOff>
    </xdr:from>
    <xdr:to>
      <xdr:col>25</xdr:col>
      <xdr:colOff>603885</xdr:colOff>
      <xdr:row>24</xdr:row>
      <xdr:rowOff>169545</xdr:rowOff>
    </xdr:to>
    <xdr:cxnSp macro="">
      <xdr:nvCxnSpPr>
        <xdr:cNvPr id="3" name="Straight Connector 2"/>
        <xdr:cNvCxnSpPr/>
      </xdr:nvCxnSpPr>
      <xdr:spPr>
        <a:xfrm flipV="1">
          <a:off x="16329660" y="388429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1905</xdr:colOff>
      <xdr:row>22</xdr:row>
      <xdr:rowOff>9525</xdr:rowOff>
    </xdr:from>
    <xdr:to>
      <xdr:col>26</xdr:col>
      <xdr:colOff>1905</xdr:colOff>
      <xdr:row>24</xdr:row>
      <xdr:rowOff>9525</xdr:rowOff>
    </xdr:to>
    <xdr:cxnSp macro="">
      <xdr:nvCxnSpPr>
        <xdr:cNvPr id="4" name="Straight Connector 3"/>
        <xdr:cNvCxnSpPr/>
      </xdr:nvCxnSpPr>
      <xdr:spPr>
        <a:xfrm flipV="1">
          <a:off x="16337280" y="372427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26</xdr:row>
      <xdr:rowOff>0</xdr:rowOff>
    </xdr:from>
    <xdr:to>
      <xdr:col>24</xdr:col>
      <xdr:colOff>0</xdr:colOff>
      <xdr:row>28</xdr:row>
      <xdr:rowOff>0</xdr:rowOff>
    </xdr:to>
    <xdr:cxnSp macro="">
      <xdr:nvCxnSpPr>
        <xdr:cNvPr id="6" name="Straight Connector 5"/>
        <xdr:cNvCxnSpPr/>
      </xdr:nvCxnSpPr>
      <xdr:spPr>
        <a:xfrm flipV="1">
          <a:off x="15116175" y="440055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600075</xdr:colOff>
      <xdr:row>26</xdr:row>
      <xdr:rowOff>9525</xdr:rowOff>
    </xdr:from>
    <xdr:to>
      <xdr:col>24</xdr:col>
      <xdr:colOff>600075</xdr:colOff>
      <xdr:row>28</xdr:row>
      <xdr:rowOff>9525</xdr:rowOff>
    </xdr:to>
    <xdr:cxnSp macro="">
      <xdr:nvCxnSpPr>
        <xdr:cNvPr id="9" name="Straight Connector 8"/>
        <xdr:cNvCxnSpPr/>
      </xdr:nvCxnSpPr>
      <xdr:spPr>
        <a:xfrm flipV="1">
          <a:off x="15716250" y="441007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27</xdr:row>
      <xdr:rowOff>0</xdr:rowOff>
    </xdr:from>
    <xdr:to>
      <xdr:col>25</xdr:col>
      <xdr:colOff>0</xdr:colOff>
      <xdr:row>29</xdr:row>
      <xdr:rowOff>0</xdr:rowOff>
    </xdr:to>
    <xdr:cxnSp macro="">
      <xdr:nvCxnSpPr>
        <xdr:cNvPr id="10" name="Straight Connector 9"/>
        <xdr:cNvCxnSpPr/>
      </xdr:nvCxnSpPr>
      <xdr:spPr>
        <a:xfrm flipV="1">
          <a:off x="15725775" y="457200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30</xdr:row>
      <xdr:rowOff>0</xdr:rowOff>
    </xdr:from>
    <xdr:to>
      <xdr:col>23</xdr:col>
      <xdr:colOff>600075</xdr:colOff>
      <xdr:row>32</xdr:row>
      <xdr:rowOff>0</xdr:rowOff>
    </xdr:to>
    <xdr:cxnSp macro="">
      <xdr:nvCxnSpPr>
        <xdr:cNvPr id="11" name="Straight Connector 10"/>
        <xdr:cNvCxnSpPr/>
      </xdr:nvCxnSpPr>
      <xdr:spPr>
        <a:xfrm flipV="1">
          <a:off x="15106650" y="508635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30</xdr:row>
      <xdr:rowOff>0</xdr:rowOff>
    </xdr:from>
    <xdr:to>
      <xdr:col>26</xdr:col>
      <xdr:colOff>9525</xdr:colOff>
      <xdr:row>32</xdr:row>
      <xdr:rowOff>0</xdr:rowOff>
    </xdr:to>
    <xdr:cxnSp macro="">
      <xdr:nvCxnSpPr>
        <xdr:cNvPr id="13" name="Straight Connector 12"/>
        <xdr:cNvCxnSpPr/>
      </xdr:nvCxnSpPr>
      <xdr:spPr>
        <a:xfrm flipV="1">
          <a:off x="16344900" y="508635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31</xdr:row>
      <xdr:rowOff>0</xdr:rowOff>
    </xdr:from>
    <xdr:to>
      <xdr:col>26</xdr:col>
      <xdr:colOff>9525</xdr:colOff>
      <xdr:row>33</xdr:row>
      <xdr:rowOff>0</xdr:rowOff>
    </xdr:to>
    <xdr:cxnSp macro="">
      <xdr:nvCxnSpPr>
        <xdr:cNvPr id="14" name="Straight Connector 13"/>
        <xdr:cNvCxnSpPr/>
      </xdr:nvCxnSpPr>
      <xdr:spPr>
        <a:xfrm flipV="1">
          <a:off x="16344900" y="525780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9525</xdr:colOff>
      <xdr:row>21</xdr:row>
      <xdr:rowOff>161925</xdr:rowOff>
    </xdr:from>
    <xdr:to>
      <xdr:col>23</xdr:col>
      <xdr:colOff>371475</xdr:colOff>
      <xdr:row>23</xdr:row>
      <xdr:rowOff>161926</xdr:rowOff>
    </xdr:to>
    <xdr:cxnSp macro="">
      <xdr:nvCxnSpPr>
        <xdr:cNvPr id="18" name="Straight Connector 17"/>
        <xdr:cNvCxnSpPr/>
      </xdr:nvCxnSpPr>
      <xdr:spPr>
        <a:xfrm flipV="1">
          <a:off x="14516100" y="3705225"/>
          <a:ext cx="542925" cy="342901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21</xdr:row>
      <xdr:rowOff>161925</xdr:rowOff>
    </xdr:from>
    <xdr:to>
      <xdr:col>24</xdr:col>
      <xdr:colOff>0</xdr:colOff>
      <xdr:row>22</xdr:row>
      <xdr:rowOff>1</xdr:rowOff>
    </xdr:to>
    <xdr:cxnSp macro="">
      <xdr:nvCxnSpPr>
        <xdr:cNvPr id="20" name="Straight Connector 19"/>
        <xdr:cNvCxnSpPr/>
      </xdr:nvCxnSpPr>
      <xdr:spPr>
        <a:xfrm flipV="1">
          <a:off x="15039975" y="3705225"/>
          <a:ext cx="257175" cy="9526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</xdr:colOff>
      <xdr:row>22</xdr:row>
      <xdr:rowOff>19050</xdr:rowOff>
    </xdr:from>
    <xdr:to>
      <xdr:col>29</xdr:col>
      <xdr:colOff>9525</xdr:colOff>
      <xdr:row>24</xdr:row>
      <xdr:rowOff>1</xdr:rowOff>
    </xdr:to>
    <xdr:cxnSp macro="">
      <xdr:nvCxnSpPr>
        <xdr:cNvPr id="26" name="Straight Connector 25"/>
        <xdr:cNvCxnSpPr/>
      </xdr:nvCxnSpPr>
      <xdr:spPr>
        <a:xfrm flipV="1">
          <a:off x="16354425" y="3724275"/>
          <a:ext cx="304800" cy="314326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276225</xdr:colOff>
      <xdr:row>30</xdr:row>
      <xdr:rowOff>9525</xdr:rowOff>
    </xdr:from>
    <xdr:to>
      <xdr:col>28</xdr:col>
      <xdr:colOff>419100</xdr:colOff>
      <xdr:row>32</xdr:row>
      <xdr:rowOff>1</xdr:rowOff>
    </xdr:to>
    <xdr:cxnSp macro="">
      <xdr:nvCxnSpPr>
        <xdr:cNvPr id="28" name="Straight Connector 27"/>
        <xdr:cNvCxnSpPr/>
      </xdr:nvCxnSpPr>
      <xdr:spPr>
        <a:xfrm flipV="1">
          <a:off x="16335375" y="5067300"/>
          <a:ext cx="428625" cy="323851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22</xdr:row>
      <xdr:rowOff>9525</xdr:rowOff>
    </xdr:from>
    <xdr:to>
      <xdr:col>28</xdr:col>
      <xdr:colOff>9525</xdr:colOff>
      <xdr:row>24</xdr:row>
      <xdr:rowOff>9527</xdr:rowOff>
    </xdr:to>
    <xdr:cxnSp macro="">
      <xdr:nvCxnSpPr>
        <xdr:cNvPr id="29" name="Straight Connector 28"/>
        <xdr:cNvCxnSpPr/>
      </xdr:nvCxnSpPr>
      <xdr:spPr>
        <a:xfrm flipV="1">
          <a:off x="16059150" y="3714750"/>
          <a:ext cx="295275" cy="333377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29</xdr:row>
      <xdr:rowOff>161925</xdr:rowOff>
    </xdr:from>
    <xdr:to>
      <xdr:col>30</xdr:col>
      <xdr:colOff>600075</xdr:colOff>
      <xdr:row>32</xdr:row>
      <xdr:rowOff>9527</xdr:rowOff>
    </xdr:to>
    <xdr:cxnSp macro="">
      <xdr:nvCxnSpPr>
        <xdr:cNvPr id="30" name="Straight Connector 29"/>
        <xdr:cNvCxnSpPr/>
      </xdr:nvCxnSpPr>
      <xdr:spPr>
        <a:xfrm flipV="1">
          <a:off x="17259300" y="5048250"/>
          <a:ext cx="600075" cy="361952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31</xdr:row>
      <xdr:rowOff>0</xdr:rowOff>
    </xdr:from>
    <xdr:to>
      <xdr:col>31</xdr:col>
      <xdr:colOff>9525</xdr:colOff>
      <xdr:row>33</xdr:row>
      <xdr:rowOff>0</xdr:rowOff>
    </xdr:to>
    <xdr:cxnSp macro="">
      <xdr:nvCxnSpPr>
        <xdr:cNvPr id="32" name="Straight Connector 31"/>
        <xdr:cNvCxnSpPr/>
      </xdr:nvCxnSpPr>
      <xdr:spPr>
        <a:xfrm flipV="1">
          <a:off x="17259300" y="5210175"/>
          <a:ext cx="619125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</xdr:colOff>
      <xdr:row>21</xdr:row>
      <xdr:rowOff>167640</xdr:rowOff>
    </xdr:from>
    <xdr:to>
      <xdr:col>24</xdr:col>
      <xdr:colOff>3810</xdr:colOff>
      <xdr:row>23</xdr:row>
      <xdr:rowOff>167640</xdr:rowOff>
    </xdr:to>
    <xdr:cxnSp macro="">
      <xdr:nvCxnSpPr>
        <xdr:cNvPr id="2" name="Straight Connector 1"/>
        <xdr:cNvCxnSpPr/>
      </xdr:nvCxnSpPr>
      <xdr:spPr>
        <a:xfrm flipV="1">
          <a:off x="15119985" y="371094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</xdr:colOff>
      <xdr:row>22</xdr:row>
      <xdr:rowOff>160020</xdr:rowOff>
    </xdr:from>
    <xdr:to>
      <xdr:col>25</xdr:col>
      <xdr:colOff>3810</xdr:colOff>
      <xdr:row>24</xdr:row>
      <xdr:rowOff>160020</xdr:rowOff>
    </xdr:to>
    <xdr:cxnSp macro="">
      <xdr:nvCxnSpPr>
        <xdr:cNvPr id="3" name="Straight Connector 2"/>
        <xdr:cNvCxnSpPr/>
      </xdr:nvCxnSpPr>
      <xdr:spPr>
        <a:xfrm flipV="1">
          <a:off x="15729585" y="387477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601980</xdr:colOff>
      <xdr:row>22</xdr:row>
      <xdr:rowOff>0</xdr:rowOff>
    </xdr:from>
    <xdr:to>
      <xdr:col>24</xdr:col>
      <xdr:colOff>601980</xdr:colOff>
      <xdr:row>24</xdr:row>
      <xdr:rowOff>0</xdr:rowOff>
    </xdr:to>
    <xdr:cxnSp macro="">
      <xdr:nvCxnSpPr>
        <xdr:cNvPr id="4" name="Straight Connector 3"/>
        <xdr:cNvCxnSpPr/>
      </xdr:nvCxnSpPr>
      <xdr:spPr>
        <a:xfrm flipV="1">
          <a:off x="15718155" y="371475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603885</xdr:colOff>
      <xdr:row>22</xdr:row>
      <xdr:rowOff>163830</xdr:rowOff>
    </xdr:from>
    <xdr:to>
      <xdr:col>23</xdr:col>
      <xdr:colOff>603885</xdr:colOff>
      <xdr:row>24</xdr:row>
      <xdr:rowOff>163830</xdr:rowOff>
    </xdr:to>
    <xdr:cxnSp macro="">
      <xdr:nvCxnSpPr>
        <xdr:cNvPr id="5" name="Straight Connector 4"/>
        <xdr:cNvCxnSpPr/>
      </xdr:nvCxnSpPr>
      <xdr:spPr>
        <a:xfrm flipV="1">
          <a:off x="15110460" y="3878580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</xdr:colOff>
      <xdr:row>21</xdr:row>
      <xdr:rowOff>167640</xdr:rowOff>
    </xdr:from>
    <xdr:to>
      <xdr:col>24</xdr:col>
      <xdr:colOff>3810</xdr:colOff>
      <xdr:row>23</xdr:row>
      <xdr:rowOff>167640</xdr:rowOff>
    </xdr:to>
    <xdr:cxnSp macro="">
      <xdr:nvCxnSpPr>
        <xdr:cNvPr id="2" name="Straight Connector 1"/>
        <xdr:cNvCxnSpPr/>
      </xdr:nvCxnSpPr>
      <xdr:spPr>
        <a:xfrm flipV="1">
          <a:off x="15119985" y="368236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</xdr:colOff>
      <xdr:row>22</xdr:row>
      <xdr:rowOff>160020</xdr:rowOff>
    </xdr:from>
    <xdr:to>
      <xdr:col>25</xdr:col>
      <xdr:colOff>3810</xdr:colOff>
      <xdr:row>24</xdr:row>
      <xdr:rowOff>160020</xdr:rowOff>
    </xdr:to>
    <xdr:cxnSp macro="">
      <xdr:nvCxnSpPr>
        <xdr:cNvPr id="3" name="Straight Connector 2"/>
        <xdr:cNvCxnSpPr/>
      </xdr:nvCxnSpPr>
      <xdr:spPr>
        <a:xfrm flipV="1">
          <a:off x="15729585" y="384619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601980</xdr:colOff>
      <xdr:row>22</xdr:row>
      <xdr:rowOff>0</xdr:rowOff>
    </xdr:from>
    <xdr:to>
      <xdr:col>24</xdr:col>
      <xdr:colOff>601980</xdr:colOff>
      <xdr:row>24</xdr:row>
      <xdr:rowOff>0</xdr:rowOff>
    </xdr:to>
    <xdr:cxnSp macro="">
      <xdr:nvCxnSpPr>
        <xdr:cNvPr id="4" name="Straight Connector 3"/>
        <xdr:cNvCxnSpPr/>
      </xdr:nvCxnSpPr>
      <xdr:spPr>
        <a:xfrm flipV="1">
          <a:off x="15718155" y="368617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603885</xdr:colOff>
      <xdr:row>22</xdr:row>
      <xdr:rowOff>163830</xdr:rowOff>
    </xdr:from>
    <xdr:to>
      <xdr:col>23</xdr:col>
      <xdr:colOff>603885</xdr:colOff>
      <xdr:row>24</xdr:row>
      <xdr:rowOff>163830</xdr:rowOff>
    </xdr:to>
    <xdr:cxnSp macro="">
      <xdr:nvCxnSpPr>
        <xdr:cNvPr id="5" name="Straight Connector 4"/>
        <xdr:cNvCxnSpPr/>
      </xdr:nvCxnSpPr>
      <xdr:spPr>
        <a:xfrm flipV="1">
          <a:off x="15110460" y="385000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</xdr:colOff>
      <xdr:row>21</xdr:row>
      <xdr:rowOff>167640</xdr:rowOff>
    </xdr:from>
    <xdr:to>
      <xdr:col>24</xdr:col>
      <xdr:colOff>3810</xdr:colOff>
      <xdr:row>23</xdr:row>
      <xdr:rowOff>167640</xdr:rowOff>
    </xdr:to>
    <xdr:cxnSp macro="">
      <xdr:nvCxnSpPr>
        <xdr:cNvPr id="2" name="Straight Connector 1"/>
        <xdr:cNvCxnSpPr/>
      </xdr:nvCxnSpPr>
      <xdr:spPr>
        <a:xfrm flipV="1">
          <a:off x="15119985" y="368236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3810</xdr:colOff>
      <xdr:row>22</xdr:row>
      <xdr:rowOff>160020</xdr:rowOff>
    </xdr:from>
    <xdr:to>
      <xdr:col>25</xdr:col>
      <xdr:colOff>3810</xdr:colOff>
      <xdr:row>24</xdr:row>
      <xdr:rowOff>160020</xdr:rowOff>
    </xdr:to>
    <xdr:cxnSp macro="">
      <xdr:nvCxnSpPr>
        <xdr:cNvPr id="3" name="Straight Connector 2"/>
        <xdr:cNvCxnSpPr/>
      </xdr:nvCxnSpPr>
      <xdr:spPr>
        <a:xfrm flipV="1">
          <a:off x="15729585" y="384619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601980</xdr:colOff>
      <xdr:row>22</xdr:row>
      <xdr:rowOff>0</xdr:rowOff>
    </xdr:from>
    <xdr:to>
      <xdr:col>24</xdr:col>
      <xdr:colOff>601980</xdr:colOff>
      <xdr:row>24</xdr:row>
      <xdr:rowOff>0</xdr:rowOff>
    </xdr:to>
    <xdr:cxnSp macro="">
      <xdr:nvCxnSpPr>
        <xdr:cNvPr id="4" name="Straight Connector 3"/>
        <xdr:cNvCxnSpPr/>
      </xdr:nvCxnSpPr>
      <xdr:spPr>
        <a:xfrm flipV="1">
          <a:off x="15718155" y="368617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603885</xdr:colOff>
      <xdr:row>22</xdr:row>
      <xdr:rowOff>163830</xdr:rowOff>
    </xdr:from>
    <xdr:to>
      <xdr:col>23</xdr:col>
      <xdr:colOff>603885</xdr:colOff>
      <xdr:row>24</xdr:row>
      <xdr:rowOff>163830</xdr:rowOff>
    </xdr:to>
    <xdr:cxnSp macro="">
      <xdr:nvCxnSpPr>
        <xdr:cNvPr id="5" name="Straight Connector 4"/>
        <xdr:cNvCxnSpPr/>
      </xdr:nvCxnSpPr>
      <xdr:spPr>
        <a:xfrm flipV="1">
          <a:off x="15110460" y="3850005"/>
          <a:ext cx="609600" cy="3429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Z47"/>
  <sheetViews>
    <sheetView showGridLines="0" zoomScaleNormal="100" workbookViewId="0">
      <selection activeCell="C36" sqref="C36"/>
    </sheetView>
  </sheetViews>
  <sheetFormatPr defaultRowHeight="12.75" x14ac:dyDescent="0.2"/>
  <cols>
    <col min="2" max="2" width="22.140625" bestFit="1" customWidth="1"/>
    <col min="5" max="5" width="0.7109375" customWidth="1"/>
    <col min="6" max="6" width="8.140625" bestFit="1" customWidth="1"/>
    <col min="7" max="7" width="12.28515625" bestFit="1" customWidth="1"/>
    <col min="8" max="8" width="8.140625" bestFit="1" customWidth="1"/>
    <col min="9" max="9" width="12.28515625" bestFit="1" customWidth="1"/>
    <col min="10" max="10" width="8.140625" bestFit="1" customWidth="1"/>
    <col min="11" max="11" width="12.28515625" bestFit="1" customWidth="1"/>
    <col min="12" max="12" width="8.140625" bestFit="1" customWidth="1"/>
    <col min="13" max="13" width="12.28515625" bestFit="1" customWidth="1"/>
    <col min="14" max="14" width="0.85546875" customWidth="1"/>
    <col min="15" max="15" width="13.140625" bestFit="1" customWidth="1"/>
    <col min="16" max="16" width="16.28515625" customWidth="1"/>
    <col min="17" max="17" width="13.5703125" customWidth="1"/>
    <col min="18" max="18" width="0.85546875" customWidth="1"/>
    <col min="19" max="19" width="8.140625" bestFit="1" customWidth="1"/>
    <col min="20" max="20" width="12.28515625" bestFit="1" customWidth="1"/>
    <col min="21" max="21" width="8.140625" bestFit="1" customWidth="1"/>
    <col min="22" max="22" width="12.28515625" bestFit="1" customWidth="1"/>
  </cols>
  <sheetData>
    <row r="2" spans="2:26" ht="13.5" thickBot="1" x14ac:dyDescent="0.25"/>
    <row r="3" spans="2:26" ht="13.5" thickBot="1" x14ac:dyDescent="0.25">
      <c r="B3" s="4" t="s">
        <v>4</v>
      </c>
      <c r="D3" s="77" t="s">
        <v>0</v>
      </c>
      <c r="E3" s="28"/>
      <c r="F3" s="79" t="s">
        <v>14</v>
      </c>
      <c r="G3" s="80"/>
      <c r="H3" s="80"/>
      <c r="I3" s="81"/>
      <c r="J3" s="82" t="s">
        <v>13</v>
      </c>
      <c r="K3" s="83"/>
      <c r="L3" s="83"/>
      <c r="M3" s="84"/>
      <c r="N3" s="1"/>
      <c r="O3" s="85" t="s">
        <v>3</v>
      </c>
      <c r="P3" s="86"/>
      <c r="Q3" s="87"/>
      <c r="S3" s="91" t="s">
        <v>15</v>
      </c>
      <c r="T3" s="92"/>
      <c r="U3" s="92"/>
      <c r="V3" s="93"/>
    </row>
    <row r="4" spans="2:26" ht="13.5" thickBot="1" x14ac:dyDescent="0.25">
      <c r="B4" s="5">
        <v>7</v>
      </c>
      <c r="D4" s="78"/>
      <c r="E4" s="28"/>
      <c r="F4" s="94" t="s">
        <v>1</v>
      </c>
      <c r="G4" s="95"/>
      <c r="H4" s="75" t="s">
        <v>2</v>
      </c>
      <c r="I4" s="76"/>
      <c r="J4" s="94" t="s">
        <v>1</v>
      </c>
      <c r="K4" s="95"/>
      <c r="L4" s="75" t="s">
        <v>2</v>
      </c>
      <c r="M4" s="76"/>
      <c r="N4" s="1"/>
      <c r="O4" s="88"/>
      <c r="P4" s="89"/>
      <c r="Q4" s="90"/>
      <c r="S4" s="94" t="s">
        <v>1</v>
      </c>
      <c r="T4" s="95"/>
      <c r="U4" s="75" t="s">
        <v>2</v>
      </c>
      <c r="V4" s="76"/>
    </row>
    <row r="5" spans="2:26" ht="13.5" thickBot="1" x14ac:dyDescent="0.25">
      <c r="B5" s="1"/>
      <c r="D5" s="78"/>
      <c r="E5" s="28"/>
      <c r="F5" s="2" t="s">
        <v>6</v>
      </c>
      <c r="G5" s="3" t="s">
        <v>7</v>
      </c>
      <c r="H5" s="2" t="s">
        <v>6</v>
      </c>
      <c r="I5" s="3" t="s">
        <v>7</v>
      </c>
      <c r="J5" s="2" t="s">
        <v>6</v>
      </c>
      <c r="K5" s="3" t="s">
        <v>7</v>
      </c>
      <c r="L5" s="2" t="s">
        <v>6</v>
      </c>
      <c r="M5" s="3" t="s">
        <v>7</v>
      </c>
      <c r="N5" s="1"/>
      <c r="O5" s="17" t="s">
        <v>8</v>
      </c>
      <c r="P5" s="60" t="s">
        <v>9</v>
      </c>
      <c r="Q5" s="18" t="s">
        <v>10</v>
      </c>
      <c r="S5" s="17" t="s">
        <v>6</v>
      </c>
      <c r="T5" s="18" t="s">
        <v>7</v>
      </c>
      <c r="U5" s="2" t="s">
        <v>6</v>
      </c>
      <c r="V5" s="3" t="s">
        <v>7</v>
      </c>
    </row>
    <row r="6" spans="2:26" ht="13.5" thickBot="1" x14ac:dyDescent="0.25">
      <c r="B6" s="4" t="s">
        <v>5</v>
      </c>
      <c r="D6" s="19"/>
      <c r="E6" s="29">
        <f>IF(D6="-",0,IF(OR(WEEKDAY(D6)=1,WEEKDAY(D6)=7),1,0))</f>
        <v>1</v>
      </c>
      <c r="F6" s="9"/>
      <c r="G6" s="10"/>
      <c r="H6" s="9"/>
      <c r="I6" s="10"/>
      <c r="J6" s="9"/>
      <c r="K6" s="10"/>
      <c r="L6" s="9"/>
      <c r="M6" s="10"/>
      <c r="N6" s="7"/>
      <c r="O6" s="41">
        <f>IFERROR(((H6+I6/60)-(F6+G6/60))+((L6+M6/60)-(J6+K6/60)), "-")</f>
        <v>0</v>
      </c>
      <c r="P6" s="42">
        <f>IFERROR(IF(AND(O6&gt;=6,O6&lt;=6.7),6,IF(O6&gt;6.7,IF(O6-$B$7&gt;0,O6-$B$7, 0),O6)),0)</f>
        <v>0</v>
      </c>
      <c r="Q6" s="43" t="str">
        <f>IFERROR(IF(P6-$B$4&gt;-7,P6-$B$4, "-"),0)</f>
        <v>-</v>
      </c>
      <c r="R6" s="8"/>
      <c r="S6" s="15">
        <f>IFERROR(F6, "-")</f>
        <v>0</v>
      </c>
      <c r="T6" s="16">
        <f>IFERROR(G6, "-")</f>
        <v>0</v>
      </c>
      <c r="U6" s="15">
        <f>IFERROR(INT(S6+T6/60+O6),"-")</f>
        <v>0</v>
      </c>
      <c r="V6" s="16">
        <f>IFERROR((S6+T6/60+O6-INT(S6+T6/60+O6))*60,"-")</f>
        <v>0</v>
      </c>
    </row>
    <row r="7" spans="2:26" ht="13.5" thickBot="1" x14ac:dyDescent="0.25">
      <c r="B7" s="6">
        <f>42/60</f>
        <v>0.7</v>
      </c>
      <c r="D7" s="20"/>
      <c r="E7" s="29">
        <f t="shared" ref="E7:E36" si="0">IF(D7="-",0,IF(OR(WEEKDAY(D7)=1,WEEKDAY(D7)=7),1,0))</f>
        <v>1</v>
      </c>
      <c r="F7" s="11"/>
      <c r="G7" s="12"/>
      <c r="H7" s="11"/>
      <c r="I7" s="12"/>
      <c r="J7" s="11"/>
      <c r="K7" s="12"/>
      <c r="L7" s="11"/>
      <c r="M7" s="12"/>
      <c r="N7" s="7"/>
      <c r="O7" s="25">
        <f>IFERROR(((H7+I7/60)-(F7+G7/60))+((L7+M7/60)-(J7+K7/60)), "-")</f>
        <v>0</v>
      </c>
      <c r="P7" s="26">
        <f>IFERROR(IF(AND(O7&gt;=6,O7&lt;=6.7),6,IF(O7&gt;6.7,IF(O7-$B$7&gt;0,O7-$B$7, 0),O7)),0)</f>
        <v>0</v>
      </c>
      <c r="Q7" s="27" t="str">
        <f>IFERROR(IF(P7-$B$4&gt;-7,P7-$B$4, "-"),0)</f>
        <v>-</v>
      </c>
      <c r="R7" s="8"/>
      <c r="S7" s="13">
        <f>IFERROR(F7, "-")</f>
        <v>0</v>
      </c>
      <c r="T7" s="14">
        <f>IFERROR(G7, "-")</f>
        <v>0</v>
      </c>
      <c r="U7" s="13">
        <f>IFERROR(INT(S7+T7/60+O7),"-")</f>
        <v>0</v>
      </c>
      <c r="V7" s="14">
        <f>IFERROR((S7+T7/60+O7-INT(S7+T7/60+O7))*60,"-")</f>
        <v>0</v>
      </c>
    </row>
    <row r="8" spans="2:26" ht="13.5" thickBot="1" x14ac:dyDescent="0.25">
      <c r="D8" s="20"/>
      <c r="E8" s="29">
        <f t="shared" si="0"/>
        <v>1</v>
      </c>
      <c r="F8" s="13"/>
      <c r="G8" s="14"/>
      <c r="H8" s="13"/>
      <c r="I8" s="14"/>
      <c r="J8" s="13"/>
      <c r="K8" s="14"/>
      <c r="L8" s="13"/>
      <c r="M8" s="14"/>
      <c r="N8" s="8"/>
      <c r="O8" s="25">
        <f t="shared" ref="O8:O36" si="1">IFERROR(((H8+I8/60)-(F8+G8/60))+((L8+M8/60)-(J8+K8/60)), "-")</f>
        <v>0</v>
      </c>
      <c r="P8" s="26">
        <f t="shared" ref="P8:P36" si="2">IFERROR(IF(AND(O8&gt;=6,O8&lt;=6.7),6,IF(O8&gt;6.7,IF(O8-$B$7&gt;0,O8-$B$7, 0),O8)),0)</f>
        <v>0</v>
      </c>
      <c r="Q8" s="27" t="str">
        <f t="shared" ref="Q8:Q36" si="3">IFERROR(IF(P8-$B$4&gt;-7,P8-$B$4, "-"),0)</f>
        <v>-</v>
      </c>
      <c r="R8" s="8"/>
      <c r="S8" s="13">
        <f t="shared" ref="S8:T36" si="4">IFERROR(F8, "-")</f>
        <v>0</v>
      </c>
      <c r="T8" s="14">
        <f t="shared" si="4"/>
        <v>0</v>
      </c>
      <c r="U8" s="13">
        <f t="shared" ref="U8:U36" si="5">IFERROR(INT(S8+T8/60+O8),"-")</f>
        <v>0</v>
      </c>
      <c r="V8" s="14">
        <f t="shared" ref="V8:V36" si="6">IFERROR((S8+T8/60+O8-INT(S8+T8/60+O8))*60,"-")</f>
        <v>0</v>
      </c>
      <c r="X8" s="32"/>
      <c r="Y8" s="32"/>
      <c r="Z8" s="32"/>
    </row>
    <row r="9" spans="2:26" ht="13.5" thickBot="1" x14ac:dyDescent="0.25">
      <c r="B9" s="4" t="s">
        <v>11</v>
      </c>
      <c r="D9" s="20"/>
      <c r="E9" s="29">
        <f t="shared" si="0"/>
        <v>1</v>
      </c>
      <c r="F9" s="13"/>
      <c r="G9" s="14"/>
      <c r="H9" s="13"/>
      <c r="I9" s="14"/>
      <c r="J9" s="13"/>
      <c r="K9" s="14"/>
      <c r="L9" s="13"/>
      <c r="M9" s="14"/>
      <c r="N9" s="8"/>
      <c r="O9" s="25">
        <f t="shared" si="1"/>
        <v>0</v>
      </c>
      <c r="P9" s="26">
        <f t="shared" si="2"/>
        <v>0</v>
      </c>
      <c r="Q9" s="27" t="str">
        <f t="shared" si="3"/>
        <v>-</v>
      </c>
      <c r="R9" s="8"/>
      <c r="S9" s="13">
        <f t="shared" si="4"/>
        <v>0</v>
      </c>
      <c r="T9" s="14">
        <f t="shared" si="4"/>
        <v>0</v>
      </c>
      <c r="U9" s="13">
        <f t="shared" si="5"/>
        <v>0</v>
      </c>
      <c r="V9" s="14">
        <f t="shared" si="6"/>
        <v>0</v>
      </c>
    </row>
    <row r="10" spans="2:26" ht="13.5" thickBot="1" x14ac:dyDescent="0.25">
      <c r="B10" s="5">
        <f>SUM(O6:O47)</f>
        <v>0</v>
      </c>
      <c r="D10" s="20"/>
      <c r="E10" s="29">
        <f t="shared" si="0"/>
        <v>1</v>
      </c>
      <c r="F10" s="13"/>
      <c r="G10" s="14"/>
      <c r="H10" s="13"/>
      <c r="I10" s="14"/>
      <c r="J10" s="13"/>
      <c r="K10" s="14"/>
      <c r="L10" s="13"/>
      <c r="M10" s="14"/>
      <c r="O10" s="25">
        <f t="shared" si="1"/>
        <v>0</v>
      </c>
      <c r="P10" s="26">
        <f t="shared" si="2"/>
        <v>0</v>
      </c>
      <c r="Q10" s="27" t="str">
        <f t="shared" si="3"/>
        <v>-</v>
      </c>
      <c r="S10" s="13">
        <f t="shared" si="4"/>
        <v>0</v>
      </c>
      <c r="T10" s="14">
        <f t="shared" si="4"/>
        <v>0</v>
      </c>
      <c r="U10" s="13">
        <f t="shared" si="5"/>
        <v>0</v>
      </c>
      <c r="V10" s="14">
        <f t="shared" si="6"/>
        <v>0</v>
      </c>
    </row>
    <row r="11" spans="2:26" ht="13.5" thickBot="1" x14ac:dyDescent="0.25">
      <c r="D11" s="20"/>
      <c r="E11" s="29">
        <f t="shared" si="0"/>
        <v>1</v>
      </c>
      <c r="F11" s="22"/>
      <c r="G11" s="23"/>
      <c r="H11" s="22"/>
      <c r="I11" s="23"/>
      <c r="J11" s="22"/>
      <c r="K11" s="23"/>
      <c r="L11" s="22"/>
      <c r="M11" s="23"/>
      <c r="O11" s="25">
        <f t="shared" si="1"/>
        <v>0</v>
      </c>
      <c r="P11" s="26">
        <f t="shared" si="2"/>
        <v>0</v>
      </c>
      <c r="Q11" s="27" t="str">
        <f t="shared" si="3"/>
        <v>-</v>
      </c>
      <c r="S11" s="13">
        <f t="shared" si="4"/>
        <v>0</v>
      </c>
      <c r="T11" s="14">
        <f t="shared" si="4"/>
        <v>0</v>
      </c>
      <c r="U11" s="13">
        <f t="shared" si="5"/>
        <v>0</v>
      </c>
      <c r="V11" s="14">
        <f t="shared" si="6"/>
        <v>0</v>
      </c>
    </row>
    <row r="12" spans="2:26" ht="13.5" thickBot="1" x14ac:dyDescent="0.25">
      <c r="B12" s="4" t="s">
        <v>12</v>
      </c>
      <c r="D12" s="20"/>
      <c r="E12" s="29">
        <f t="shared" si="0"/>
        <v>1</v>
      </c>
      <c r="F12" s="22"/>
      <c r="G12" s="23"/>
      <c r="H12" s="22"/>
      <c r="I12" s="23"/>
      <c r="J12" s="22"/>
      <c r="K12" s="23"/>
      <c r="L12" s="22"/>
      <c r="M12" s="23"/>
      <c r="O12" s="25">
        <f t="shared" si="1"/>
        <v>0</v>
      </c>
      <c r="P12" s="26">
        <f t="shared" si="2"/>
        <v>0</v>
      </c>
      <c r="Q12" s="27" t="str">
        <f t="shared" si="3"/>
        <v>-</v>
      </c>
      <c r="S12" s="13">
        <f t="shared" si="4"/>
        <v>0</v>
      </c>
      <c r="T12" s="14">
        <f t="shared" si="4"/>
        <v>0</v>
      </c>
      <c r="U12" s="13">
        <f t="shared" si="5"/>
        <v>0</v>
      </c>
      <c r="V12" s="14">
        <f t="shared" si="6"/>
        <v>0</v>
      </c>
    </row>
    <row r="13" spans="2:26" ht="13.5" thickBot="1" x14ac:dyDescent="0.25">
      <c r="B13" s="5">
        <f>SUM(Q6:Q47)</f>
        <v>0</v>
      </c>
      <c r="D13" s="20"/>
      <c r="E13" s="29">
        <f t="shared" si="0"/>
        <v>1</v>
      </c>
      <c r="F13" s="22"/>
      <c r="G13" s="23"/>
      <c r="H13" s="22"/>
      <c r="I13" s="23"/>
      <c r="J13" s="22"/>
      <c r="K13" s="23"/>
      <c r="L13" s="22"/>
      <c r="M13" s="24"/>
      <c r="O13" s="25">
        <f t="shared" si="1"/>
        <v>0</v>
      </c>
      <c r="P13" s="26">
        <f t="shared" si="2"/>
        <v>0</v>
      </c>
      <c r="Q13" s="27" t="str">
        <f t="shared" si="3"/>
        <v>-</v>
      </c>
      <c r="S13" s="13">
        <f t="shared" si="4"/>
        <v>0</v>
      </c>
      <c r="T13" s="14">
        <f t="shared" si="4"/>
        <v>0</v>
      </c>
      <c r="U13" s="13">
        <f t="shared" si="5"/>
        <v>0</v>
      </c>
      <c r="V13" s="14">
        <f t="shared" si="6"/>
        <v>0</v>
      </c>
    </row>
    <row r="14" spans="2:26" x14ac:dyDescent="0.2">
      <c r="D14" s="20"/>
      <c r="E14" s="29">
        <f t="shared" si="0"/>
        <v>1</v>
      </c>
      <c r="F14" s="22"/>
      <c r="G14" s="23"/>
      <c r="H14" s="22"/>
      <c r="I14" s="23"/>
      <c r="J14" s="22"/>
      <c r="K14" s="23"/>
      <c r="L14" s="22"/>
      <c r="M14" s="24"/>
      <c r="O14" s="25">
        <f t="shared" si="1"/>
        <v>0</v>
      </c>
      <c r="P14" s="26">
        <f t="shared" si="2"/>
        <v>0</v>
      </c>
      <c r="Q14" s="27" t="str">
        <f t="shared" si="3"/>
        <v>-</v>
      </c>
      <c r="S14" s="13">
        <f t="shared" si="4"/>
        <v>0</v>
      </c>
      <c r="T14" s="14">
        <f t="shared" si="4"/>
        <v>0</v>
      </c>
      <c r="U14" s="13">
        <f t="shared" si="5"/>
        <v>0</v>
      </c>
      <c r="V14" s="14">
        <f t="shared" si="6"/>
        <v>0</v>
      </c>
    </row>
    <row r="15" spans="2:26" x14ac:dyDescent="0.2">
      <c r="D15" s="20"/>
      <c r="E15" s="29">
        <f t="shared" si="0"/>
        <v>1</v>
      </c>
      <c r="F15" s="22"/>
      <c r="G15" s="23"/>
      <c r="H15" s="22"/>
      <c r="I15" s="23"/>
      <c r="J15" s="22"/>
      <c r="K15" s="23"/>
      <c r="L15" s="22"/>
      <c r="M15" s="24"/>
      <c r="O15" s="25">
        <f t="shared" si="1"/>
        <v>0</v>
      </c>
      <c r="P15" s="26">
        <f t="shared" si="2"/>
        <v>0</v>
      </c>
      <c r="Q15" s="27" t="str">
        <f t="shared" si="3"/>
        <v>-</v>
      </c>
      <c r="S15" s="13">
        <f t="shared" si="4"/>
        <v>0</v>
      </c>
      <c r="T15" s="14">
        <f t="shared" si="4"/>
        <v>0</v>
      </c>
      <c r="U15" s="13">
        <f t="shared" si="5"/>
        <v>0</v>
      </c>
      <c r="V15" s="14">
        <f t="shared" si="6"/>
        <v>0</v>
      </c>
    </row>
    <row r="16" spans="2:26" x14ac:dyDescent="0.2">
      <c r="D16" s="20"/>
      <c r="E16" s="29">
        <f t="shared" si="0"/>
        <v>1</v>
      </c>
      <c r="F16" s="22"/>
      <c r="G16" s="23"/>
      <c r="H16" s="22"/>
      <c r="I16" s="23"/>
      <c r="J16" s="22"/>
      <c r="K16" s="23"/>
      <c r="L16" s="22"/>
      <c r="M16" s="24"/>
      <c r="O16" s="25">
        <f t="shared" si="1"/>
        <v>0</v>
      </c>
      <c r="P16" s="26">
        <f t="shared" si="2"/>
        <v>0</v>
      </c>
      <c r="Q16" s="27" t="str">
        <f t="shared" si="3"/>
        <v>-</v>
      </c>
      <c r="S16" s="13">
        <f t="shared" si="4"/>
        <v>0</v>
      </c>
      <c r="T16" s="14">
        <f t="shared" si="4"/>
        <v>0</v>
      </c>
      <c r="U16" s="13">
        <f t="shared" si="5"/>
        <v>0</v>
      </c>
      <c r="V16" s="14">
        <f t="shared" si="6"/>
        <v>0</v>
      </c>
    </row>
    <row r="17" spans="2:25" x14ac:dyDescent="0.2">
      <c r="D17" s="20"/>
      <c r="E17" s="29">
        <f t="shared" si="0"/>
        <v>1</v>
      </c>
      <c r="F17" s="22"/>
      <c r="G17" s="23"/>
      <c r="H17" s="22"/>
      <c r="I17" s="23"/>
      <c r="J17" s="22"/>
      <c r="K17" s="23"/>
      <c r="L17" s="22"/>
      <c r="M17" s="23"/>
      <c r="N17" s="1"/>
      <c r="O17" s="25">
        <f t="shared" si="1"/>
        <v>0</v>
      </c>
      <c r="P17" s="26">
        <f t="shared" si="2"/>
        <v>0</v>
      </c>
      <c r="Q17" s="27" t="str">
        <f t="shared" si="3"/>
        <v>-</v>
      </c>
      <c r="R17" s="1"/>
      <c r="S17" s="13">
        <f t="shared" si="4"/>
        <v>0</v>
      </c>
      <c r="T17" s="14">
        <f t="shared" si="4"/>
        <v>0</v>
      </c>
      <c r="U17" s="13">
        <f t="shared" si="5"/>
        <v>0</v>
      </c>
      <c r="V17" s="14">
        <f t="shared" si="6"/>
        <v>0</v>
      </c>
    </row>
    <row r="18" spans="2:25" x14ac:dyDescent="0.2">
      <c r="B18" s="72"/>
      <c r="D18" s="20"/>
      <c r="E18" s="29">
        <f t="shared" si="0"/>
        <v>1</v>
      </c>
      <c r="F18" s="22"/>
      <c r="G18" s="23"/>
      <c r="H18" s="22"/>
      <c r="I18" s="23"/>
      <c r="J18" s="22"/>
      <c r="K18" s="23"/>
      <c r="L18" s="22"/>
      <c r="M18" s="23"/>
      <c r="N18" s="1"/>
      <c r="O18" s="25">
        <f t="shared" si="1"/>
        <v>0</v>
      </c>
      <c r="P18" s="26">
        <f t="shared" si="2"/>
        <v>0</v>
      </c>
      <c r="Q18" s="27" t="str">
        <f t="shared" si="3"/>
        <v>-</v>
      </c>
      <c r="R18" s="1"/>
      <c r="S18" s="13">
        <f t="shared" si="4"/>
        <v>0</v>
      </c>
      <c r="T18" s="14">
        <f t="shared" si="4"/>
        <v>0</v>
      </c>
      <c r="U18" s="13">
        <f t="shared" si="5"/>
        <v>0</v>
      </c>
      <c r="V18" s="14">
        <f t="shared" si="6"/>
        <v>0</v>
      </c>
    </row>
    <row r="19" spans="2:25" x14ac:dyDescent="0.2">
      <c r="B19" s="73"/>
      <c r="D19" s="20"/>
      <c r="E19" s="29">
        <f t="shared" si="0"/>
        <v>1</v>
      </c>
      <c r="F19" s="22"/>
      <c r="G19" s="23"/>
      <c r="H19" s="22"/>
      <c r="I19" s="23"/>
      <c r="J19" s="22"/>
      <c r="K19" s="23"/>
      <c r="L19" s="22"/>
      <c r="M19" s="23"/>
      <c r="N19" s="1"/>
      <c r="O19" s="25">
        <f t="shared" si="1"/>
        <v>0</v>
      </c>
      <c r="P19" s="26">
        <f t="shared" si="2"/>
        <v>0</v>
      </c>
      <c r="Q19" s="27" t="str">
        <f t="shared" si="3"/>
        <v>-</v>
      </c>
      <c r="R19" s="1"/>
      <c r="S19" s="13">
        <f t="shared" si="4"/>
        <v>0</v>
      </c>
      <c r="T19" s="14">
        <f t="shared" si="4"/>
        <v>0</v>
      </c>
      <c r="U19" s="13">
        <f t="shared" si="5"/>
        <v>0</v>
      </c>
      <c r="V19" s="14">
        <f t="shared" si="6"/>
        <v>0</v>
      </c>
    </row>
    <row r="20" spans="2:25" x14ac:dyDescent="0.2">
      <c r="B20" s="74"/>
      <c r="D20" s="20"/>
      <c r="E20" s="29">
        <f t="shared" si="0"/>
        <v>1</v>
      </c>
      <c r="F20" s="22"/>
      <c r="G20" s="23"/>
      <c r="H20" s="22"/>
      <c r="I20" s="23"/>
      <c r="J20" s="22"/>
      <c r="K20" s="23"/>
      <c r="L20" s="22"/>
      <c r="M20" s="23"/>
      <c r="N20" s="1"/>
      <c r="O20" s="25">
        <f t="shared" si="1"/>
        <v>0</v>
      </c>
      <c r="P20" s="26">
        <f t="shared" si="2"/>
        <v>0</v>
      </c>
      <c r="Q20" s="27" t="str">
        <f t="shared" si="3"/>
        <v>-</v>
      </c>
      <c r="R20" s="1"/>
      <c r="S20" s="13">
        <f t="shared" si="4"/>
        <v>0</v>
      </c>
      <c r="T20" s="14">
        <f t="shared" si="4"/>
        <v>0</v>
      </c>
      <c r="U20" s="13">
        <f t="shared" si="5"/>
        <v>0</v>
      </c>
      <c r="V20" s="14">
        <f t="shared" si="6"/>
        <v>0</v>
      </c>
    </row>
    <row r="21" spans="2:25" x14ac:dyDescent="0.2">
      <c r="B21" s="74"/>
      <c r="D21" s="20"/>
      <c r="E21" s="29">
        <f t="shared" si="0"/>
        <v>1</v>
      </c>
      <c r="F21" s="22"/>
      <c r="G21" s="23"/>
      <c r="H21" s="22"/>
      <c r="I21" s="23"/>
      <c r="J21" s="22"/>
      <c r="K21" s="23"/>
      <c r="L21" s="22"/>
      <c r="M21" s="23"/>
      <c r="N21" s="1"/>
      <c r="O21" s="25">
        <f t="shared" si="1"/>
        <v>0</v>
      </c>
      <c r="P21" s="26">
        <f t="shared" si="2"/>
        <v>0</v>
      </c>
      <c r="Q21" s="27" t="str">
        <f t="shared" si="3"/>
        <v>-</v>
      </c>
      <c r="R21" s="1"/>
      <c r="S21" s="13">
        <f t="shared" si="4"/>
        <v>0</v>
      </c>
      <c r="T21" s="14">
        <f t="shared" si="4"/>
        <v>0</v>
      </c>
      <c r="U21" s="13">
        <f t="shared" si="5"/>
        <v>0</v>
      </c>
      <c r="V21" s="14">
        <f t="shared" si="6"/>
        <v>0</v>
      </c>
    </row>
    <row r="22" spans="2:25" ht="13.5" thickBot="1" x14ac:dyDescent="0.25">
      <c r="B22" s="74"/>
      <c r="D22" s="20"/>
      <c r="E22" s="29">
        <f t="shared" si="0"/>
        <v>1</v>
      </c>
      <c r="F22" s="22"/>
      <c r="G22" s="23"/>
      <c r="H22" s="22"/>
      <c r="I22" s="23"/>
      <c r="J22" s="22"/>
      <c r="K22" s="23"/>
      <c r="L22" s="22"/>
      <c r="M22" s="23"/>
      <c r="N22" s="1"/>
      <c r="O22" s="25">
        <f t="shared" si="1"/>
        <v>0</v>
      </c>
      <c r="P22" s="26">
        <f t="shared" si="2"/>
        <v>0</v>
      </c>
      <c r="Q22" s="27" t="str">
        <f t="shared" si="3"/>
        <v>-</v>
      </c>
      <c r="R22" s="1"/>
      <c r="S22" s="13">
        <f t="shared" si="4"/>
        <v>0</v>
      </c>
      <c r="T22" s="14">
        <f t="shared" si="4"/>
        <v>0</v>
      </c>
      <c r="U22" s="13">
        <f t="shared" si="5"/>
        <v>0</v>
      </c>
      <c r="V22" s="14">
        <f t="shared" si="6"/>
        <v>0</v>
      </c>
    </row>
    <row r="23" spans="2:25" ht="13.5" thickBot="1" x14ac:dyDescent="0.25">
      <c r="B23" s="74"/>
      <c r="D23" s="20"/>
      <c r="E23" s="29">
        <f t="shared" si="0"/>
        <v>1</v>
      </c>
      <c r="F23" s="22"/>
      <c r="G23" s="23"/>
      <c r="H23" s="22"/>
      <c r="I23" s="23"/>
      <c r="J23" s="22"/>
      <c r="K23" s="23"/>
      <c r="L23" s="22"/>
      <c r="M23" s="24"/>
      <c r="N23" s="1"/>
      <c r="O23" s="25">
        <f t="shared" si="1"/>
        <v>0</v>
      </c>
      <c r="P23" s="26">
        <f t="shared" si="2"/>
        <v>0</v>
      </c>
      <c r="Q23" s="27" t="str">
        <f t="shared" si="3"/>
        <v>-</v>
      </c>
      <c r="R23" s="1"/>
      <c r="S23" s="13">
        <f t="shared" si="4"/>
        <v>0</v>
      </c>
      <c r="T23" s="14">
        <f t="shared" si="4"/>
        <v>0</v>
      </c>
      <c r="U23" s="13">
        <f t="shared" si="5"/>
        <v>0</v>
      </c>
      <c r="V23" s="14">
        <f t="shared" si="6"/>
        <v>0</v>
      </c>
      <c r="Y23" s="31"/>
    </row>
    <row r="24" spans="2:25" ht="13.5" thickBot="1" x14ac:dyDescent="0.25">
      <c r="B24" s="74"/>
      <c r="D24" s="20"/>
      <c r="E24" s="29">
        <f t="shared" si="0"/>
        <v>1</v>
      </c>
      <c r="F24" s="22"/>
      <c r="G24" s="23"/>
      <c r="H24" s="22"/>
      <c r="I24" s="23"/>
      <c r="J24" s="22"/>
      <c r="K24" s="23"/>
      <c r="L24" s="22"/>
      <c r="M24" s="23"/>
      <c r="N24" s="1"/>
      <c r="O24" s="25">
        <f t="shared" si="1"/>
        <v>0</v>
      </c>
      <c r="P24" s="26">
        <f t="shared" si="2"/>
        <v>0</v>
      </c>
      <c r="Q24" s="27" t="str">
        <f t="shared" si="3"/>
        <v>-</v>
      </c>
      <c r="R24" s="1"/>
      <c r="S24" s="13">
        <f t="shared" si="4"/>
        <v>0</v>
      </c>
      <c r="T24" s="14">
        <f t="shared" si="4"/>
        <v>0</v>
      </c>
      <c r="U24" s="13">
        <f t="shared" si="5"/>
        <v>0</v>
      </c>
      <c r="V24" s="14">
        <f t="shared" si="6"/>
        <v>0</v>
      </c>
    </row>
    <row r="25" spans="2:25" ht="13.5" thickBot="1" x14ac:dyDescent="0.25">
      <c r="D25" s="20"/>
      <c r="E25" s="29">
        <f t="shared" si="0"/>
        <v>1</v>
      </c>
      <c r="F25" s="22"/>
      <c r="G25" s="23"/>
      <c r="H25" s="22"/>
      <c r="I25" s="23"/>
      <c r="J25" s="22"/>
      <c r="K25" s="23"/>
      <c r="L25" s="22"/>
      <c r="M25" s="23"/>
      <c r="N25" s="1"/>
      <c r="O25" s="25">
        <f t="shared" si="1"/>
        <v>0</v>
      </c>
      <c r="P25" s="26">
        <f t="shared" si="2"/>
        <v>0</v>
      </c>
      <c r="Q25" s="27" t="str">
        <f t="shared" si="3"/>
        <v>-</v>
      </c>
      <c r="R25" s="1"/>
      <c r="S25" s="13">
        <f t="shared" si="4"/>
        <v>0</v>
      </c>
      <c r="T25" s="14">
        <f t="shared" si="4"/>
        <v>0</v>
      </c>
      <c r="U25" s="13">
        <f t="shared" si="5"/>
        <v>0</v>
      </c>
      <c r="V25" s="14">
        <f t="shared" si="6"/>
        <v>0</v>
      </c>
      <c r="X25" s="31"/>
    </row>
    <row r="26" spans="2:25" x14ac:dyDescent="0.2">
      <c r="D26" s="20"/>
      <c r="E26" s="29">
        <f t="shared" si="0"/>
        <v>1</v>
      </c>
      <c r="F26" s="22"/>
      <c r="G26" s="23"/>
      <c r="H26" s="22"/>
      <c r="I26" s="23"/>
      <c r="J26" s="22"/>
      <c r="K26" s="23"/>
      <c r="L26" s="22"/>
      <c r="M26" s="23"/>
      <c r="N26" s="1"/>
      <c r="O26" s="25">
        <f t="shared" si="1"/>
        <v>0</v>
      </c>
      <c r="P26" s="26">
        <f t="shared" si="2"/>
        <v>0</v>
      </c>
      <c r="Q26" s="27" t="str">
        <f t="shared" si="3"/>
        <v>-</v>
      </c>
      <c r="R26" s="1"/>
      <c r="S26" s="13">
        <f t="shared" si="4"/>
        <v>0</v>
      </c>
      <c r="T26" s="14">
        <f t="shared" si="4"/>
        <v>0</v>
      </c>
      <c r="U26" s="13">
        <f t="shared" si="5"/>
        <v>0</v>
      </c>
      <c r="V26" s="14">
        <f t="shared" si="6"/>
        <v>0</v>
      </c>
    </row>
    <row r="27" spans="2:25" x14ac:dyDescent="0.2">
      <c r="D27" s="20"/>
      <c r="E27" s="29">
        <f t="shared" si="0"/>
        <v>1</v>
      </c>
      <c r="F27" s="22"/>
      <c r="G27" s="23"/>
      <c r="H27" s="22"/>
      <c r="I27" s="23"/>
      <c r="J27" s="22"/>
      <c r="K27" s="23"/>
      <c r="L27" s="22"/>
      <c r="M27" s="23"/>
      <c r="N27" s="1"/>
      <c r="O27" s="25">
        <f t="shared" si="1"/>
        <v>0</v>
      </c>
      <c r="P27" s="26">
        <f t="shared" si="2"/>
        <v>0</v>
      </c>
      <c r="Q27" s="27" t="str">
        <f t="shared" si="3"/>
        <v>-</v>
      </c>
      <c r="R27" s="1"/>
      <c r="S27" s="13">
        <f t="shared" si="4"/>
        <v>0</v>
      </c>
      <c r="T27" s="14">
        <f t="shared" si="4"/>
        <v>0</v>
      </c>
      <c r="U27" s="13">
        <f t="shared" si="5"/>
        <v>0</v>
      </c>
      <c r="V27" s="14">
        <f t="shared" si="6"/>
        <v>0</v>
      </c>
    </row>
    <row r="28" spans="2:25" x14ac:dyDescent="0.2">
      <c r="D28" s="20"/>
      <c r="E28" s="29">
        <f t="shared" si="0"/>
        <v>1</v>
      </c>
      <c r="F28" s="22"/>
      <c r="G28" s="23"/>
      <c r="H28" s="22"/>
      <c r="I28" s="23"/>
      <c r="J28" s="22"/>
      <c r="K28" s="23"/>
      <c r="L28" s="22"/>
      <c r="M28" s="23"/>
      <c r="N28" s="1"/>
      <c r="O28" s="25">
        <f t="shared" si="1"/>
        <v>0</v>
      </c>
      <c r="P28" s="26">
        <f t="shared" si="2"/>
        <v>0</v>
      </c>
      <c r="Q28" s="27" t="str">
        <f t="shared" si="3"/>
        <v>-</v>
      </c>
      <c r="R28" s="1"/>
      <c r="S28" s="13">
        <f t="shared" si="4"/>
        <v>0</v>
      </c>
      <c r="T28" s="14">
        <f t="shared" si="4"/>
        <v>0</v>
      </c>
      <c r="U28" s="13">
        <f t="shared" si="5"/>
        <v>0</v>
      </c>
      <c r="V28" s="14">
        <f t="shared" si="6"/>
        <v>0</v>
      </c>
    </row>
    <row r="29" spans="2:25" x14ac:dyDescent="0.2">
      <c r="D29" s="20"/>
      <c r="E29" s="29">
        <f t="shared" si="0"/>
        <v>1</v>
      </c>
      <c r="F29" s="22"/>
      <c r="G29" s="23"/>
      <c r="H29" s="22"/>
      <c r="I29" s="23"/>
      <c r="J29" s="22"/>
      <c r="K29" s="23"/>
      <c r="L29" s="22"/>
      <c r="M29" s="23"/>
      <c r="N29" s="1"/>
      <c r="O29" s="25">
        <f t="shared" si="1"/>
        <v>0</v>
      </c>
      <c r="P29" s="26">
        <f t="shared" si="2"/>
        <v>0</v>
      </c>
      <c r="Q29" s="27" t="str">
        <f t="shared" si="3"/>
        <v>-</v>
      </c>
      <c r="R29" s="1"/>
      <c r="S29" s="13">
        <f t="shared" si="4"/>
        <v>0</v>
      </c>
      <c r="T29" s="14">
        <f t="shared" si="4"/>
        <v>0</v>
      </c>
      <c r="U29" s="13">
        <f t="shared" si="5"/>
        <v>0</v>
      </c>
      <c r="V29" s="14">
        <f t="shared" si="6"/>
        <v>0</v>
      </c>
    </row>
    <row r="30" spans="2:25" x14ac:dyDescent="0.2">
      <c r="D30" s="20"/>
      <c r="E30" s="29">
        <f t="shared" si="0"/>
        <v>1</v>
      </c>
      <c r="F30" s="22"/>
      <c r="G30" s="23"/>
      <c r="H30" s="22"/>
      <c r="I30" s="23"/>
      <c r="J30" s="22"/>
      <c r="K30" s="23"/>
      <c r="L30" s="22"/>
      <c r="M30" s="23"/>
      <c r="N30" s="1"/>
      <c r="O30" s="25">
        <f t="shared" si="1"/>
        <v>0</v>
      </c>
      <c r="P30" s="26">
        <f t="shared" si="2"/>
        <v>0</v>
      </c>
      <c r="Q30" s="27" t="str">
        <f t="shared" si="3"/>
        <v>-</v>
      </c>
      <c r="R30" s="1"/>
      <c r="S30" s="13">
        <f t="shared" si="4"/>
        <v>0</v>
      </c>
      <c r="T30" s="14">
        <f t="shared" si="4"/>
        <v>0</v>
      </c>
      <c r="U30" s="13">
        <f t="shared" si="5"/>
        <v>0</v>
      </c>
      <c r="V30" s="14">
        <f t="shared" si="6"/>
        <v>0</v>
      </c>
    </row>
    <row r="31" spans="2:25" x14ac:dyDescent="0.2">
      <c r="D31" s="20"/>
      <c r="E31" s="29">
        <f t="shared" si="0"/>
        <v>1</v>
      </c>
      <c r="F31" s="22"/>
      <c r="G31" s="23"/>
      <c r="H31" s="22"/>
      <c r="I31" s="23"/>
      <c r="J31" s="22"/>
      <c r="K31" s="23"/>
      <c r="L31" s="22"/>
      <c r="M31" s="23"/>
      <c r="N31" s="1"/>
      <c r="O31" s="25">
        <f t="shared" si="1"/>
        <v>0</v>
      </c>
      <c r="P31" s="26">
        <f t="shared" si="2"/>
        <v>0</v>
      </c>
      <c r="Q31" s="27" t="str">
        <f t="shared" si="3"/>
        <v>-</v>
      </c>
      <c r="R31" s="1"/>
      <c r="S31" s="13">
        <f t="shared" si="4"/>
        <v>0</v>
      </c>
      <c r="T31" s="14">
        <f t="shared" si="4"/>
        <v>0</v>
      </c>
      <c r="U31" s="13">
        <f t="shared" si="5"/>
        <v>0</v>
      </c>
      <c r="V31" s="14">
        <f t="shared" si="6"/>
        <v>0</v>
      </c>
    </row>
    <row r="32" spans="2:25" x14ac:dyDescent="0.2">
      <c r="D32" s="20"/>
      <c r="E32" s="29">
        <f t="shared" si="0"/>
        <v>1</v>
      </c>
      <c r="F32" s="22"/>
      <c r="G32" s="23"/>
      <c r="H32" s="22"/>
      <c r="I32" s="23"/>
      <c r="J32" s="22"/>
      <c r="K32" s="23"/>
      <c r="L32" s="22"/>
      <c r="M32" s="23"/>
      <c r="N32" s="1"/>
      <c r="O32" s="25">
        <f t="shared" si="1"/>
        <v>0</v>
      </c>
      <c r="P32" s="26">
        <f t="shared" si="2"/>
        <v>0</v>
      </c>
      <c r="Q32" s="27" t="str">
        <f t="shared" si="3"/>
        <v>-</v>
      </c>
      <c r="R32" s="1"/>
      <c r="S32" s="13">
        <f t="shared" si="4"/>
        <v>0</v>
      </c>
      <c r="T32" s="14">
        <f t="shared" si="4"/>
        <v>0</v>
      </c>
      <c r="U32" s="13">
        <f t="shared" si="5"/>
        <v>0</v>
      </c>
      <c r="V32" s="14">
        <f t="shared" si="6"/>
        <v>0</v>
      </c>
    </row>
    <row r="33" spans="2:22" x14ac:dyDescent="0.2">
      <c r="D33" s="20"/>
      <c r="E33" s="29">
        <f t="shared" si="0"/>
        <v>1</v>
      </c>
      <c r="F33" s="22"/>
      <c r="G33" s="23"/>
      <c r="H33" s="22"/>
      <c r="I33" s="23"/>
      <c r="J33" s="22"/>
      <c r="K33" s="23"/>
      <c r="L33" s="22"/>
      <c r="M33" s="23"/>
      <c r="N33" s="1"/>
      <c r="O33" s="25">
        <f t="shared" si="1"/>
        <v>0</v>
      </c>
      <c r="P33" s="26">
        <f t="shared" si="2"/>
        <v>0</v>
      </c>
      <c r="Q33" s="27" t="str">
        <f t="shared" si="3"/>
        <v>-</v>
      </c>
      <c r="R33" s="1"/>
      <c r="S33" s="13">
        <f t="shared" si="4"/>
        <v>0</v>
      </c>
      <c r="T33" s="14">
        <f t="shared" si="4"/>
        <v>0</v>
      </c>
      <c r="U33" s="13">
        <f t="shared" si="5"/>
        <v>0</v>
      </c>
      <c r="V33" s="14">
        <f t="shared" si="6"/>
        <v>0</v>
      </c>
    </row>
    <row r="34" spans="2:22" x14ac:dyDescent="0.2">
      <c r="D34" s="20"/>
      <c r="E34" s="29">
        <f t="shared" si="0"/>
        <v>1</v>
      </c>
      <c r="F34" s="22"/>
      <c r="G34" s="23"/>
      <c r="H34" s="22"/>
      <c r="I34" s="23"/>
      <c r="J34" s="22"/>
      <c r="K34" s="23"/>
      <c r="L34" s="22"/>
      <c r="M34" s="23"/>
      <c r="N34" s="1"/>
      <c r="O34" s="25">
        <f t="shared" si="1"/>
        <v>0</v>
      </c>
      <c r="P34" s="26">
        <f t="shared" si="2"/>
        <v>0</v>
      </c>
      <c r="Q34" s="27" t="str">
        <f t="shared" si="3"/>
        <v>-</v>
      </c>
      <c r="R34" s="1"/>
      <c r="S34" s="13">
        <f t="shared" si="4"/>
        <v>0</v>
      </c>
      <c r="T34" s="14">
        <f t="shared" si="4"/>
        <v>0</v>
      </c>
      <c r="U34" s="13">
        <f t="shared" si="5"/>
        <v>0</v>
      </c>
      <c r="V34" s="14">
        <f t="shared" si="6"/>
        <v>0</v>
      </c>
    </row>
    <row r="35" spans="2:22" x14ac:dyDescent="0.2">
      <c r="D35" s="20"/>
      <c r="E35" s="29">
        <f t="shared" si="0"/>
        <v>1</v>
      </c>
      <c r="F35" s="22"/>
      <c r="G35" s="23"/>
      <c r="H35" s="22"/>
      <c r="I35" s="23"/>
      <c r="J35" s="22"/>
      <c r="K35" s="23"/>
      <c r="L35" s="22"/>
      <c r="M35" s="23"/>
      <c r="N35" s="1"/>
      <c r="O35" s="25">
        <f t="shared" si="1"/>
        <v>0</v>
      </c>
      <c r="P35" s="26">
        <f t="shared" si="2"/>
        <v>0</v>
      </c>
      <c r="Q35" s="27" t="str">
        <f t="shared" si="3"/>
        <v>-</v>
      </c>
      <c r="R35" s="1"/>
      <c r="S35" s="13">
        <f t="shared" si="4"/>
        <v>0</v>
      </c>
      <c r="T35" s="14">
        <f t="shared" si="4"/>
        <v>0</v>
      </c>
      <c r="U35" s="13">
        <f t="shared" si="5"/>
        <v>0</v>
      </c>
      <c r="V35" s="14">
        <f t="shared" si="6"/>
        <v>0</v>
      </c>
    </row>
    <row r="36" spans="2:22" ht="13.5" thickBot="1" x14ac:dyDescent="0.25">
      <c r="D36" s="51"/>
      <c r="E36" s="29">
        <f t="shared" si="0"/>
        <v>1</v>
      </c>
      <c r="F36" s="33"/>
      <c r="G36" s="34"/>
      <c r="H36" s="33"/>
      <c r="I36" s="34"/>
      <c r="J36" s="33"/>
      <c r="K36" s="34"/>
      <c r="L36" s="33"/>
      <c r="M36" s="34"/>
      <c r="N36" s="1"/>
      <c r="O36" s="35">
        <f t="shared" si="1"/>
        <v>0</v>
      </c>
      <c r="P36" s="44">
        <f t="shared" si="2"/>
        <v>0</v>
      </c>
      <c r="Q36" s="36" t="str">
        <f t="shared" si="3"/>
        <v>-</v>
      </c>
      <c r="R36" s="1"/>
      <c r="S36" s="37">
        <f t="shared" si="4"/>
        <v>0</v>
      </c>
      <c r="T36" s="38">
        <f t="shared" si="4"/>
        <v>0</v>
      </c>
      <c r="U36" s="37">
        <f t="shared" si="5"/>
        <v>0</v>
      </c>
      <c r="V36" s="38">
        <f t="shared" si="6"/>
        <v>0</v>
      </c>
    </row>
    <row r="37" spans="2:22" x14ac:dyDescent="0.2">
      <c r="D37" s="46"/>
      <c r="E37" s="47"/>
      <c r="F37" s="48"/>
      <c r="G37" s="48"/>
      <c r="H37" s="48"/>
      <c r="I37" s="48"/>
      <c r="J37" s="48"/>
      <c r="K37" s="48"/>
      <c r="L37" s="48"/>
      <c r="M37" s="48"/>
      <c r="N37" s="48"/>
      <c r="O37" s="26"/>
      <c r="P37" s="26"/>
      <c r="Q37" s="26"/>
      <c r="R37" s="48"/>
      <c r="S37" s="49"/>
      <c r="T37" s="49"/>
      <c r="U37" s="49"/>
      <c r="V37" s="49"/>
    </row>
    <row r="38" spans="2:22" x14ac:dyDescent="0.2">
      <c r="D38" s="46"/>
      <c r="E38" s="47"/>
      <c r="F38" s="48"/>
      <c r="G38" s="48"/>
      <c r="H38" s="48"/>
      <c r="I38" s="48"/>
      <c r="J38" s="48"/>
      <c r="K38" s="48"/>
      <c r="L38" s="48"/>
      <c r="M38" s="48"/>
      <c r="N38" s="48"/>
      <c r="O38" s="26"/>
      <c r="P38" s="26"/>
      <c r="Q38" s="26"/>
      <c r="R38" s="48"/>
      <c r="S38" s="49"/>
      <c r="T38" s="49"/>
      <c r="U38" s="49"/>
      <c r="V38" s="49"/>
    </row>
    <row r="39" spans="2:22" x14ac:dyDescent="0.2">
      <c r="B39" s="50"/>
      <c r="D39" s="46"/>
      <c r="E39" s="47"/>
      <c r="F39" s="48"/>
      <c r="G39" s="48"/>
      <c r="H39" s="48"/>
      <c r="I39" s="48"/>
      <c r="J39" s="48"/>
      <c r="K39" s="48"/>
      <c r="L39" s="48"/>
      <c r="M39" s="48"/>
      <c r="N39" s="48"/>
      <c r="O39" s="26"/>
      <c r="P39" s="26"/>
      <c r="Q39" s="26"/>
      <c r="R39" s="48"/>
      <c r="S39" s="49"/>
      <c r="T39" s="49"/>
      <c r="U39" s="49"/>
      <c r="V39" s="49"/>
    </row>
    <row r="40" spans="2:22" x14ac:dyDescent="0.2">
      <c r="D40" s="46"/>
      <c r="E40" s="47"/>
      <c r="F40" s="48"/>
      <c r="G40" s="48"/>
      <c r="H40" s="48"/>
      <c r="I40" s="48"/>
      <c r="J40" s="48"/>
      <c r="K40" s="48"/>
      <c r="L40" s="48"/>
      <c r="M40" s="48"/>
      <c r="N40" s="48"/>
      <c r="O40" s="26"/>
      <c r="P40" s="26"/>
      <c r="Q40" s="26"/>
      <c r="R40" s="48"/>
      <c r="S40" s="49"/>
      <c r="T40" s="49"/>
      <c r="U40" s="49"/>
      <c r="V40" s="49"/>
    </row>
    <row r="41" spans="2:22" x14ac:dyDescent="0.2">
      <c r="D41" s="46"/>
      <c r="E41" s="47"/>
      <c r="F41" s="48"/>
      <c r="G41" s="48"/>
      <c r="H41" s="48"/>
      <c r="I41" s="48"/>
      <c r="J41" s="48"/>
      <c r="K41" s="48"/>
      <c r="L41" s="48"/>
      <c r="M41" s="48"/>
      <c r="N41" s="48"/>
      <c r="O41" s="26"/>
      <c r="P41" s="26"/>
      <c r="Q41" s="26"/>
      <c r="R41" s="48"/>
      <c r="S41" s="49"/>
      <c r="T41" s="49"/>
      <c r="U41" s="49"/>
      <c r="V41" s="49"/>
    </row>
    <row r="42" spans="2:22" x14ac:dyDescent="0.2">
      <c r="D42" s="46"/>
      <c r="E42" s="47"/>
      <c r="F42" s="48"/>
      <c r="G42" s="48"/>
      <c r="H42" s="48"/>
      <c r="I42" s="48"/>
      <c r="J42" s="48"/>
      <c r="K42" s="48"/>
      <c r="L42" s="48"/>
      <c r="M42" s="48"/>
      <c r="N42" s="48"/>
      <c r="O42" s="26"/>
      <c r="P42" s="26"/>
      <c r="Q42" s="26"/>
      <c r="R42" s="48"/>
      <c r="S42" s="49"/>
      <c r="T42" s="49"/>
      <c r="U42" s="49"/>
      <c r="V42" s="49"/>
    </row>
    <row r="43" spans="2:22" x14ac:dyDescent="0.2">
      <c r="D43" s="46"/>
      <c r="E43" s="47"/>
      <c r="F43" s="48"/>
      <c r="G43" s="48"/>
      <c r="H43" s="48"/>
      <c r="I43" s="48"/>
      <c r="J43" s="48"/>
      <c r="K43" s="48"/>
      <c r="L43" s="48"/>
      <c r="M43" s="48"/>
      <c r="N43" s="48"/>
      <c r="O43" s="26"/>
      <c r="P43" s="26"/>
      <c r="Q43" s="26"/>
      <c r="R43" s="48"/>
      <c r="S43" s="49"/>
      <c r="T43" s="49"/>
      <c r="U43" s="49"/>
      <c r="V43" s="49"/>
    </row>
    <row r="44" spans="2:22" x14ac:dyDescent="0.2">
      <c r="D44" s="46"/>
      <c r="E44" s="47"/>
      <c r="F44" s="48"/>
      <c r="G44" s="48"/>
      <c r="H44" s="48"/>
      <c r="I44" s="48"/>
      <c r="J44" s="48"/>
      <c r="K44" s="48"/>
      <c r="L44" s="48"/>
      <c r="M44" s="48"/>
      <c r="N44" s="48"/>
      <c r="O44" s="26"/>
      <c r="P44" s="26"/>
      <c r="Q44" s="26"/>
      <c r="R44" s="48"/>
      <c r="S44" s="49"/>
      <c r="T44" s="49"/>
      <c r="U44" s="49"/>
      <c r="V44" s="49"/>
    </row>
    <row r="45" spans="2:22" x14ac:dyDescent="0.2">
      <c r="D45" s="46"/>
      <c r="E45" s="47"/>
      <c r="F45" s="48"/>
      <c r="G45" s="48"/>
      <c r="H45" s="48"/>
      <c r="I45" s="48"/>
      <c r="J45" s="48"/>
      <c r="K45" s="48"/>
      <c r="L45" s="48"/>
      <c r="M45" s="48"/>
      <c r="N45" s="48"/>
      <c r="O45" s="26"/>
      <c r="P45" s="26"/>
      <c r="Q45" s="26"/>
      <c r="R45" s="48"/>
      <c r="S45" s="49"/>
      <c r="T45" s="49"/>
      <c r="U45" s="49"/>
      <c r="V45" s="49"/>
    </row>
    <row r="46" spans="2:22" x14ac:dyDescent="0.2">
      <c r="D46" s="46"/>
      <c r="E46" s="47"/>
      <c r="F46" s="48"/>
      <c r="G46" s="48"/>
      <c r="H46" s="48"/>
      <c r="I46" s="48"/>
      <c r="J46" s="48"/>
      <c r="K46" s="48"/>
      <c r="L46" s="48"/>
      <c r="M46" s="48"/>
      <c r="N46" s="48"/>
      <c r="O46" s="26"/>
      <c r="P46" s="26"/>
      <c r="Q46" s="26"/>
      <c r="R46" s="48"/>
      <c r="S46" s="49"/>
      <c r="T46" s="49"/>
      <c r="U46" s="49"/>
      <c r="V46" s="49"/>
    </row>
    <row r="47" spans="2:22" x14ac:dyDescent="0.2">
      <c r="D47" s="46"/>
      <c r="E47" s="47"/>
      <c r="F47" s="48"/>
      <c r="G47" s="48"/>
      <c r="H47" s="48"/>
      <c r="I47" s="48"/>
      <c r="J47" s="48"/>
      <c r="K47" s="48"/>
      <c r="L47" s="48"/>
      <c r="M47" s="48"/>
      <c r="N47" s="48"/>
      <c r="O47" s="26"/>
      <c r="P47" s="26"/>
      <c r="Q47" s="26"/>
      <c r="R47" s="48"/>
      <c r="S47" s="49"/>
      <c r="T47" s="49"/>
      <c r="U47" s="49"/>
      <c r="V47" s="49"/>
    </row>
  </sheetData>
  <mergeCells count="11">
    <mergeCell ref="U4:V4"/>
    <mergeCell ref="D3:D5"/>
    <mergeCell ref="F3:I3"/>
    <mergeCell ref="J3:M3"/>
    <mergeCell ref="O3:Q4"/>
    <mergeCell ref="S3:V3"/>
    <mergeCell ref="F4:G4"/>
    <mergeCell ref="H4:I4"/>
    <mergeCell ref="J4:K4"/>
    <mergeCell ref="L4:M4"/>
    <mergeCell ref="S4:T4"/>
  </mergeCells>
  <conditionalFormatting sqref="O6:O36">
    <cfRule type="cellIs" dxfId="21" priority="4" operator="between">
      <formula>6</formula>
      <formula>6.7</formula>
    </cfRule>
  </conditionalFormatting>
  <conditionalFormatting sqref="Q6:Q36">
    <cfRule type="cellIs" dxfId="20" priority="2" operator="greaterThan">
      <formula>0</formula>
    </cfRule>
    <cfRule type="cellIs" dxfId="19" priority="3" operator="lessThan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E1104C42-3265-424F-874F-AFF13E0D06EB}">
            <xm:f>NOT(ISERROR(SEARCH("-",Q6)))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Q6:Q36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Z47"/>
  <sheetViews>
    <sheetView showGridLines="0" zoomScaleNormal="100" workbookViewId="0">
      <selection activeCell="B40" sqref="B40"/>
    </sheetView>
  </sheetViews>
  <sheetFormatPr defaultRowHeight="12.75" x14ac:dyDescent="0.2"/>
  <cols>
    <col min="2" max="2" width="20.140625" bestFit="1" customWidth="1"/>
    <col min="5" max="5" width="0.7109375" customWidth="1"/>
    <col min="6" max="6" width="8.140625" bestFit="1" customWidth="1"/>
    <col min="7" max="7" width="12.28515625" bestFit="1" customWidth="1"/>
    <col min="8" max="8" width="8.140625" bestFit="1" customWidth="1"/>
    <col min="9" max="9" width="12.28515625" bestFit="1" customWidth="1"/>
    <col min="10" max="10" width="8.140625" bestFit="1" customWidth="1"/>
    <col min="11" max="11" width="12.28515625" bestFit="1" customWidth="1"/>
    <col min="12" max="12" width="8.140625" bestFit="1" customWidth="1"/>
    <col min="13" max="13" width="12.28515625" bestFit="1" customWidth="1"/>
    <col min="14" max="14" width="0.85546875" customWidth="1"/>
    <col min="15" max="15" width="13.140625" bestFit="1" customWidth="1"/>
    <col min="16" max="16" width="16.28515625" customWidth="1"/>
    <col min="17" max="17" width="13.5703125" customWidth="1"/>
    <col min="18" max="18" width="0.85546875" customWidth="1"/>
    <col min="19" max="19" width="8.140625" bestFit="1" customWidth="1"/>
    <col min="20" max="20" width="12.28515625" bestFit="1" customWidth="1"/>
    <col min="21" max="21" width="8.140625" bestFit="1" customWidth="1"/>
    <col min="22" max="22" width="12.28515625" bestFit="1" customWidth="1"/>
  </cols>
  <sheetData>
    <row r="2" spans="2:26" ht="13.5" thickBot="1" x14ac:dyDescent="0.25"/>
    <row r="3" spans="2:26" ht="13.5" thickBot="1" x14ac:dyDescent="0.25">
      <c r="B3" s="4" t="s">
        <v>4</v>
      </c>
      <c r="D3" s="77" t="s">
        <v>0</v>
      </c>
      <c r="E3" s="28"/>
      <c r="F3" s="79" t="s">
        <v>14</v>
      </c>
      <c r="G3" s="80"/>
      <c r="H3" s="80"/>
      <c r="I3" s="81"/>
      <c r="J3" s="82" t="s">
        <v>13</v>
      </c>
      <c r="K3" s="83"/>
      <c r="L3" s="83"/>
      <c r="M3" s="84"/>
      <c r="N3" s="1"/>
      <c r="O3" s="85" t="s">
        <v>3</v>
      </c>
      <c r="P3" s="86"/>
      <c r="Q3" s="87"/>
      <c r="S3" s="91" t="s">
        <v>15</v>
      </c>
      <c r="T3" s="92"/>
      <c r="U3" s="92"/>
      <c r="V3" s="93"/>
    </row>
    <row r="4" spans="2:26" ht="13.5" thickBot="1" x14ac:dyDescent="0.25">
      <c r="B4" s="5">
        <v>7</v>
      </c>
      <c r="D4" s="78"/>
      <c r="E4" s="28"/>
      <c r="F4" s="94" t="s">
        <v>1</v>
      </c>
      <c r="G4" s="95"/>
      <c r="H4" s="75" t="s">
        <v>2</v>
      </c>
      <c r="I4" s="76"/>
      <c r="J4" s="94" t="s">
        <v>1</v>
      </c>
      <c r="K4" s="95"/>
      <c r="L4" s="75" t="s">
        <v>2</v>
      </c>
      <c r="M4" s="76"/>
      <c r="N4" s="1"/>
      <c r="O4" s="88"/>
      <c r="P4" s="89"/>
      <c r="Q4" s="90"/>
      <c r="S4" s="94" t="s">
        <v>1</v>
      </c>
      <c r="T4" s="95"/>
      <c r="U4" s="75" t="s">
        <v>2</v>
      </c>
      <c r="V4" s="76"/>
    </row>
    <row r="5" spans="2:26" ht="13.5" thickBot="1" x14ac:dyDescent="0.25">
      <c r="B5" s="1"/>
      <c r="D5" s="78"/>
      <c r="E5" s="28"/>
      <c r="F5" s="2" t="s">
        <v>6</v>
      </c>
      <c r="G5" s="3" t="s">
        <v>7</v>
      </c>
      <c r="H5" s="2" t="s">
        <v>6</v>
      </c>
      <c r="I5" s="3" t="s">
        <v>7</v>
      </c>
      <c r="J5" s="2" t="s">
        <v>6</v>
      </c>
      <c r="K5" s="3" t="s">
        <v>7</v>
      </c>
      <c r="L5" s="2" t="s">
        <v>6</v>
      </c>
      <c r="M5" s="3" t="s">
        <v>7</v>
      </c>
      <c r="N5" s="1"/>
      <c r="O5" s="2" t="s">
        <v>8</v>
      </c>
      <c r="P5" s="40" t="s">
        <v>9</v>
      </c>
      <c r="Q5" s="3" t="s">
        <v>10</v>
      </c>
      <c r="S5" s="17" t="s">
        <v>6</v>
      </c>
      <c r="T5" s="18" t="s">
        <v>7</v>
      </c>
      <c r="U5" s="2" t="s">
        <v>6</v>
      </c>
      <c r="V5" s="3" t="s">
        <v>7</v>
      </c>
    </row>
    <row r="6" spans="2:26" ht="13.5" thickBot="1" x14ac:dyDescent="0.25">
      <c r="B6" s="4" t="s">
        <v>5</v>
      </c>
      <c r="D6" s="19">
        <v>44018</v>
      </c>
      <c r="E6" s="29"/>
      <c r="F6" s="9">
        <v>12</v>
      </c>
      <c r="G6" s="10">
        <v>10</v>
      </c>
      <c r="H6" s="9">
        <v>21</v>
      </c>
      <c r="I6" s="10">
        <v>6</v>
      </c>
      <c r="J6" s="9">
        <v>0</v>
      </c>
      <c r="K6" s="10">
        <v>0</v>
      </c>
      <c r="L6" s="9">
        <v>0</v>
      </c>
      <c r="M6" s="10">
        <v>0</v>
      </c>
      <c r="N6" s="7"/>
      <c r="O6" s="41">
        <f>IFERROR(((H6+I6/60)-(F6+G6/60))+((L6+M6/60)-(J6+K6/60)), "-")</f>
        <v>8.9333333333333353</v>
      </c>
      <c r="P6" s="42">
        <f t="shared" ref="P6:P15" si="0">IFERROR(IF(O6-$B$7&gt;0,O6-$B$7, 0),0)</f>
        <v>8.2333333333333361</v>
      </c>
      <c r="Q6" s="43">
        <f>IFERROR(IF(P6-$B$4&gt;-7,P6-$B$4, "-"),0)</f>
        <v>1.2333333333333361</v>
      </c>
      <c r="R6" s="8"/>
      <c r="S6" s="15">
        <f>IFERROR(F6, "-")</f>
        <v>12</v>
      </c>
      <c r="T6" s="16">
        <f>IFERROR(G6, "-")</f>
        <v>10</v>
      </c>
      <c r="U6" s="15">
        <f>IFERROR(INT(S6+T6/60+O6),"-")</f>
        <v>21</v>
      </c>
      <c r="V6" s="16">
        <f>IFERROR((S6+T6/60+O6-INT(S6+T6/60+O6))*60,"-")</f>
        <v>6.0000000000000853</v>
      </c>
    </row>
    <row r="7" spans="2:26" ht="13.5" thickBot="1" x14ac:dyDescent="0.25">
      <c r="B7" s="6">
        <f>42/60</f>
        <v>0.7</v>
      </c>
      <c r="D7" s="20">
        <v>44019</v>
      </c>
      <c r="E7" s="29"/>
      <c r="F7" s="11">
        <v>12</v>
      </c>
      <c r="G7" s="12">
        <v>0</v>
      </c>
      <c r="H7" s="11">
        <v>18</v>
      </c>
      <c r="I7" s="12">
        <v>10</v>
      </c>
      <c r="J7" s="11">
        <v>0</v>
      </c>
      <c r="K7" s="12">
        <v>0</v>
      </c>
      <c r="L7" s="11">
        <v>0</v>
      </c>
      <c r="M7" s="12">
        <v>0</v>
      </c>
      <c r="N7" s="7"/>
      <c r="O7" s="25">
        <f>IFERROR(((H7+I7/60)-(F7+G7/60))+((L7+M7/60)-(J7+K7/60)), "-")</f>
        <v>6.1666666666666679</v>
      </c>
      <c r="P7" s="26">
        <f t="shared" si="0"/>
        <v>5.4666666666666677</v>
      </c>
      <c r="Q7" s="27">
        <f>IFERROR(IF(P7-$B$4&gt;-7,P7-$B$4, "-"),0)</f>
        <v>-1.5333333333333323</v>
      </c>
      <c r="R7" s="8"/>
      <c r="S7" s="13">
        <f>IFERROR(F7, "-")</f>
        <v>12</v>
      </c>
      <c r="T7" s="14">
        <f>IFERROR(G7, "-")</f>
        <v>0</v>
      </c>
      <c r="U7" s="13">
        <f>IFERROR(INT(S7+T7/60+O7),"-")</f>
        <v>18</v>
      </c>
      <c r="V7" s="14">
        <f>IFERROR((S7+T7/60+O7-INT(S7+T7/60+O7))*60,"-")</f>
        <v>10.000000000000071</v>
      </c>
    </row>
    <row r="8" spans="2:26" ht="13.5" thickBot="1" x14ac:dyDescent="0.25">
      <c r="D8" s="21">
        <v>44020</v>
      </c>
      <c r="E8" s="28"/>
      <c r="F8" s="13">
        <v>12</v>
      </c>
      <c r="G8" s="14">
        <v>5</v>
      </c>
      <c r="H8" s="13">
        <v>20</v>
      </c>
      <c r="I8" s="14">
        <v>10</v>
      </c>
      <c r="J8" s="13">
        <v>0</v>
      </c>
      <c r="K8" s="14">
        <v>0</v>
      </c>
      <c r="L8" s="13">
        <v>0</v>
      </c>
      <c r="M8" s="14">
        <v>0</v>
      </c>
      <c r="N8" s="8"/>
      <c r="O8" s="25">
        <f t="shared" ref="O8:O47" si="1">IFERROR(((H8+I8/60)-(F8+G8/60))+((L8+M8/60)-(J8+K8/60)), "-")</f>
        <v>8.0833333333333339</v>
      </c>
      <c r="P8" s="26">
        <f t="shared" si="0"/>
        <v>7.3833333333333337</v>
      </c>
      <c r="Q8" s="27">
        <f t="shared" ref="Q8:Q47" si="2">IFERROR(IF(P8-$B$4&gt;-7,P8-$B$4, "-"),0)</f>
        <v>0.38333333333333375</v>
      </c>
      <c r="R8" s="8"/>
      <c r="S8" s="13">
        <f t="shared" ref="S8:S47" si="3">IFERROR(F8, "-")</f>
        <v>12</v>
      </c>
      <c r="T8" s="14">
        <f t="shared" ref="T8:T47" si="4">IFERROR(G8, "-")</f>
        <v>5</v>
      </c>
      <c r="U8" s="13">
        <f t="shared" ref="U8:U47" si="5">IFERROR(INT(S8+T8/60+O8),"-")</f>
        <v>20</v>
      </c>
      <c r="V8" s="14">
        <f t="shared" ref="V8:V47" si="6">IFERROR((S8+T8/60+O8-INT(S8+T8/60+O8))*60,"-")</f>
        <v>10.000000000000071</v>
      </c>
      <c r="X8" s="32"/>
      <c r="Y8" s="32"/>
      <c r="Z8" s="32"/>
    </row>
    <row r="9" spans="2:26" ht="13.5" thickBot="1" x14ac:dyDescent="0.25">
      <c r="B9" s="4" t="s">
        <v>11</v>
      </c>
      <c r="D9" s="21">
        <v>44021</v>
      </c>
      <c r="E9" s="28"/>
      <c r="F9" s="13">
        <v>12</v>
      </c>
      <c r="G9" s="14">
        <v>45</v>
      </c>
      <c r="H9" s="13">
        <v>21</v>
      </c>
      <c r="I9" s="14">
        <v>10</v>
      </c>
      <c r="J9" s="13">
        <v>9</v>
      </c>
      <c r="K9" s="14">
        <v>0</v>
      </c>
      <c r="L9" s="13">
        <v>9</v>
      </c>
      <c r="M9" s="14">
        <v>30</v>
      </c>
      <c r="N9" s="8"/>
      <c r="O9" s="25">
        <f t="shared" si="1"/>
        <v>8.9166666666666679</v>
      </c>
      <c r="P9" s="26">
        <f t="shared" si="0"/>
        <v>8.2166666666666686</v>
      </c>
      <c r="Q9" s="27">
        <f t="shared" si="2"/>
        <v>1.2166666666666686</v>
      </c>
      <c r="R9" s="8"/>
      <c r="S9" s="13">
        <f t="shared" si="3"/>
        <v>12</v>
      </c>
      <c r="T9" s="14">
        <f t="shared" si="4"/>
        <v>45</v>
      </c>
      <c r="U9" s="13">
        <f t="shared" si="5"/>
        <v>21</v>
      </c>
      <c r="V9" s="14">
        <f t="shared" si="6"/>
        <v>40.000000000000071</v>
      </c>
    </row>
    <row r="10" spans="2:26" ht="13.5" thickBot="1" x14ac:dyDescent="0.25">
      <c r="B10" s="5">
        <f>SUM(O6:O47)</f>
        <v>122.06666666666669</v>
      </c>
      <c r="D10" s="21">
        <v>44022</v>
      </c>
      <c r="E10" s="30"/>
      <c r="F10" s="13">
        <v>11</v>
      </c>
      <c r="G10" s="14">
        <v>50</v>
      </c>
      <c r="H10" s="13">
        <v>17</v>
      </c>
      <c r="I10" s="14">
        <v>45</v>
      </c>
      <c r="J10" s="13">
        <v>9</v>
      </c>
      <c r="K10" s="14">
        <v>0</v>
      </c>
      <c r="L10" s="13">
        <v>9</v>
      </c>
      <c r="M10" s="14">
        <v>16</v>
      </c>
      <c r="O10" s="25">
        <f t="shared" si="1"/>
        <v>6.1833333333333336</v>
      </c>
      <c r="P10" s="26">
        <f t="shared" si="0"/>
        <v>5.4833333333333334</v>
      </c>
      <c r="Q10" s="27">
        <f t="shared" si="2"/>
        <v>-1.5166666666666666</v>
      </c>
      <c r="S10" s="13">
        <f t="shared" si="3"/>
        <v>11</v>
      </c>
      <c r="T10" s="14">
        <f t="shared" si="4"/>
        <v>50</v>
      </c>
      <c r="U10" s="13">
        <f t="shared" si="5"/>
        <v>18</v>
      </c>
      <c r="V10" s="14">
        <f t="shared" si="6"/>
        <v>0.99999999999994316</v>
      </c>
    </row>
    <row r="11" spans="2:26" ht="13.5" thickBot="1" x14ac:dyDescent="0.25">
      <c r="D11" s="21">
        <v>44025</v>
      </c>
      <c r="E11" s="30"/>
      <c r="F11" s="22">
        <v>12</v>
      </c>
      <c r="G11" s="23">
        <v>4</v>
      </c>
      <c r="H11" s="22">
        <v>20</v>
      </c>
      <c r="I11" s="23">
        <v>20</v>
      </c>
      <c r="J11" s="22">
        <v>0</v>
      </c>
      <c r="K11" s="23">
        <v>0</v>
      </c>
      <c r="L11" s="22">
        <v>0</v>
      </c>
      <c r="M11" s="24">
        <v>0</v>
      </c>
      <c r="O11" s="25">
        <f t="shared" si="1"/>
        <v>8.2666666666666657</v>
      </c>
      <c r="P11" s="26">
        <f t="shared" si="0"/>
        <v>7.5666666666666655</v>
      </c>
      <c r="Q11" s="27">
        <f t="shared" si="2"/>
        <v>0.56666666666666554</v>
      </c>
      <c r="S11" s="13">
        <f t="shared" si="3"/>
        <v>12</v>
      </c>
      <c r="T11" s="14">
        <f t="shared" si="4"/>
        <v>4</v>
      </c>
      <c r="U11" s="13">
        <f t="shared" si="5"/>
        <v>20</v>
      </c>
      <c r="V11" s="14">
        <f t="shared" si="6"/>
        <v>19.999999999999929</v>
      </c>
    </row>
    <row r="12" spans="2:26" ht="13.5" thickBot="1" x14ac:dyDescent="0.25">
      <c r="B12" s="4" t="s">
        <v>12</v>
      </c>
      <c r="D12" s="21">
        <v>44026</v>
      </c>
      <c r="E12" s="30"/>
      <c r="F12" s="22">
        <v>8</v>
      </c>
      <c r="G12" s="23">
        <v>30</v>
      </c>
      <c r="H12" s="22">
        <v>18</v>
      </c>
      <c r="I12" s="23">
        <v>30</v>
      </c>
      <c r="J12" s="22">
        <v>0</v>
      </c>
      <c r="K12" s="23">
        <v>0</v>
      </c>
      <c r="L12" s="22">
        <v>0</v>
      </c>
      <c r="M12" s="24">
        <v>0</v>
      </c>
      <c r="O12" s="25">
        <f t="shared" si="1"/>
        <v>10</v>
      </c>
      <c r="P12" s="26">
        <f t="shared" si="0"/>
        <v>9.3000000000000007</v>
      </c>
      <c r="Q12" s="27">
        <f t="shared" si="2"/>
        <v>2.3000000000000007</v>
      </c>
      <c r="S12" s="13">
        <f t="shared" si="3"/>
        <v>8</v>
      </c>
      <c r="T12" s="14">
        <f t="shared" si="4"/>
        <v>30</v>
      </c>
      <c r="U12" s="13">
        <f t="shared" si="5"/>
        <v>18</v>
      </c>
      <c r="V12" s="14">
        <f t="shared" si="6"/>
        <v>30</v>
      </c>
    </row>
    <row r="13" spans="2:26" ht="13.5" thickBot="1" x14ac:dyDescent="0.25">
      <c r="B13" s="5">
        <f>SUM(Q6:Q47)</f>
        <v>6.5666666666666726</v>
      </c>
      <c r="D13" s="21">
        <v>44027</v>
      </c>
      <c r="E13" s="30"/>
      <c r="F13" s="22">
        <v>10</v>
      </c>
      <c r="G13" s="23">
        <v>24</v>
      </c>
      <c r="H13" s="22">
        <v>19</v>
      </c>
      <c r="I13" s="23">
        <v>5</v>
      </c>
      <c r="J13" s="22">
        <v>9</v>
      </c>
      <c r="K13" s="23">
        <v>0</v>
      </c>
      <c r="L13" s="22">
        <v>9</v>
      </c>
      <c r="M13" s="24">
        <v>15</v>
      </c>
      <c r="O13" s="25">
        <f t="shared" si="1"/>
        <v>8.9333333333333318</v>
      </c>
      <c r="P13" s="26">
        <f t="shared" si="0"/>
        <v>8.2333333333333325</v>
      </c>
      <c r="Q13" s="27">
        <f t="shared" si="2"/>
        <v>1.2333333333333325</v>
      </c>
      <c r="S13" s="13">
        <f t="shared" si="3"/>
        <v>10</v>
      </c>
      <c r="T13" s="14">
        <f t="shared" si="4"/>
        <v>24</v>
      </c>
      <c r="U13" s="13">
        <f t="shared" si="5"/>
        <v>19</v>
      </c>
      <c r="V13" s="14">
        <f t="shared" si="6"/>
        <v>19.999999999999929</v>
      </c>
    </row>
    <row r="14" spans="2:26" x14ac:dyDescent="0.2">
      <c r="D14" s="21">
        <v>44028</v>
      </c>
      <c r="E14" s="30"/>
      <c r="F14" s="22">
        <v>10</v>
      </c>
      <c r="G14" s="23">
        <v>40</v>
      </c>
      <c r="H14" s="22">
        <v>19</v>
      </c>
      <c r="I14" s="23">
        <v>30</v>
      </c>
      <c r="J14" s="22">
        <v>8</v>
      </c>
      <c r="K14" s="23">
        <v>55</v>
      </c>
      <c r="L14" s="22">
        <v>9</v>
      </c>
      <c r="M14" s="24">
        <v>20</v>
      </c>
      <c r="O14" s="25">
        <f t="shared" si="1"/>
        <v>9.2500000000000018</v>
      </c>
      <c r="P14" s="26">
        <f t="shared" si="0"/>
        <v>8.5500000000000025</v>
      </c>
      <c r="Q14" s="27">
        <f t="shared" si="2"/>
        <v>1.5500000000000025</v>
      </c>
      <c r="S14" s="13">
        <f t="shared" si="3"/>
        <v>10</v>
      </c>
      <c r="T14" s="14">
        <f t="shared" si="4"/>
        <v>40</v>
      </c>
      <c r="U14" s="13">
        <f t="shared" si="5"/>
        <v>19</v>
      </c>
      <c r="V14" s="14">
        <f t="shared" si="6"/>
        <v>55.000000000000071</v>
      </c>
    </row>
    <row r="15" spans="2:26" x14ac:dyDescent="0.2">
      <c r="D15" s="21">
        <v>44029</v>
      </c>
      <c r="E15" s="30"/>
      <c r="F15" s="22">
        <v>11</v>
      </c>
      <c r="G15" s="23">
        <v>10</v>
      </c>
      <c r="H15" s="22">
        <v>19</v>
      </c>
      <c r="I15" s="23">
        <v>50</v>
      </c>
      <c r="J15" s="22">
        <v>0</v>
      </c>
      <c r="K15" s="23">
        <v>0</v>
      </c>
      <c r="L15" s="22">
        <v>0</v>
      </c>
      <c r="M15" s="24">
        <v>0</v>
      </c>
      <c r="O15" s="25">
        <f t="shared" si="1"/>
        <v>8.6666666666666661</v>
      </c>
      <c r="P15" s="26">
        <f t="shared" si="0"/>
        <v>7.9666666666666659</v>
      </c>
      <c r="Q15" s="27">
        <f t="shared" si="2"/>
        <v>0.9666666666666659</v>
      </c>
      <c r="S15" s="13">
        <f t="shared" si="3"/>
        <v>11</v>
      </c>
      <c r="T15" s="14">
        <f t="shared" si="4"/>
        <v>10</v>
      </c>
      <c r="U15" s="13">
        <f t="shared" si="5"/>
        <v>19</v>
      </c>
      <c r="V15" s="14">
        <f t="shared" si="6"/>
        <v>49.999999999999929</v>
      </c>
    </row>
    <row r="16" spans="2:26" x14ac:dyDescent="0.2">
      <c r="D16" s="21">
        <v>44030</v>
      </c>
      <c r="E16" s="30"/>
      <c r="F16" s="22" t="s">
        <v>16</v>
      </c>
      <c r="G16" s="23" t="s">
        <v>16</v>
      </c>
      <c r="H16" s="22" t="s">
        <v>16</v>
      </c>
      <c r="I16" s="23" t="s">
        <v>16</v>
      </c>
      <c r="J16" s="22" t="s">
        <v>16</v>
      </c>
      <c r="K16" s="23" t="s">
        <v>16</v>
      </c>
      <c r="L16" s="22" t="s">
        <v>16</v>
      </c>
      <c r="M16" s="24" t="s">
        <v>16</v>
      </c>
      <c r="O16" s="25" t="str">
        <f t="shared" si="1"/>
        <v>-</v>
      </c>
      <c r="P16" s="26">
        <f>IFERROR(IF(O16-$B$7&gt;0,O16-$B$7, 0),0)</f>
        <v>0</v>
      </c>
      <c r="Q16" s="27" t="str">
        <f t="shared" si="2"/>
        <v>-</v>
      </c>
      <c r="S16" s="13" t="str">
        <f t="shared" si="3"/>
        <v>-</v>
      </c>
      <c r="T16" s="14" t="str">
        <f t="shared" si="4"/>
        <v>-</v>
      </c>
      <c r="U16" s="13" t="str">
        <f t="shared" si="5"/>
        <v>-</v>
      </c>
      <c r="V16" s="14" t="str">
        <f t="shared" si="6"/>
        <v>-</v>
      </c>
    </row>
    <row r="17" spans="4:25" x14ac:dyDescent="0.2">
      <c r="D17" s="21">
        <v>44031</v>
      </c>
      <c r="E17" s="30"/>
      <c r="F17" s="22" t="s">
        <v>16</v>
      </c>
      <c r="G17" s="23" t="s">
        <v>16</v>
      </c>
      <c r="H17" s="22" t="s">
        <v>16</v>
      </c>
      <c r="I17" s="23" t="s">
        <v>16</v>
      </c>
      <c r="J17" s="22" t="s">
        <v>16</v>
      </c>
      <c r="K17" s="23" t="s">
        <v>16</v>
      </c>
      <c r="L17" s="22" t="s">
        <v>16</v>
      </c>
      <c r="M17" s="23" t="s">
        <v>16</v>
      </c>
      <c r="N17" s="1"/>
      <c r="O17" s="25" t="str">
        <f t="shared" si="1"/>
        <v>-</v>
      </c>
      <c r="P17" s="26">
        <f t="shared" ref="P17:P47" si="7">IFERROR(IF(O17-$B$7&gt;0,O17-$B$7, 0),0)</f>
        <v>0</v>
      </c>
      <c r="Q17" s="27" t="str">
        <f t="shared" si="2"/>
        <v>-</v>
      </c>
      <c r="R17" s="1"/>
      <c r="S17" s="13" t="str">
        <f t="shared" si="3"/>
        <v>-</v>
      </c>
      <c r="T17" s="14" t="str">
        <f t="shared" si="4"/>
        <v>-</v>
      </c>
      <c r="U17" s="13" t="str">
        <f t="shared" si="5"/>
        <v>-</v>
      </c>
      <c r="V17" s="14" t="str">
        <f t="shared" si="6"/>
        <v>-</v>
      </c>
    </row>
    <row r="18" spans="4:25" x14ac:dyDescent="0.2">
      <c r="D18" s="21">
        <v>44032</v>
      </c>
      <c r="E18" s="30"/>
      <c r="F18" s="22">
        <v>10</v>
      </c>
      <c r="G18" s="23">
        <v>45</v>
      </c>
      <c r="H18" s="22">
        <v>19</v>
      </c>
      <c r="I18" s="23">
        <v>5</v>
      </c>
      <c r="J18" s="22">
        <v>8</v>
      </c>
      <c r="K18" s="23">
        <v>55</v>
      </c>
      <c r="L18" s="22">
        <v>9</v>
      </c>
      <c r="M18" s="24">
        <v>5</v>
      </c>
      <c r="N18" s="1"/>
      <c r="O18" s="25">
        <f t="shared" si="1"/>
        <v>8.5</v>
      </c>
      <c r="P18" s="26">
        <f t="shared" si="7"/>
        <v>7.8</v>
      </c>
      <c r="Q18" s="27">
        <f t="shared" si="2"/>
        <v>0.79999999999999982</v>
      </c>
      <c r="R18" s="1"/>
      <c r="S18" s="13">
        <f t="shared" si="3"/>
        <v>10</v>
      </c>
      <c r="T18" s="14">
        <f t="shared" si="4"/>
        <v>45</v>
      </c>
      <c r="U18" s="13">
        <f t="shared" si="5"/>
        <v>19</v>
      </c>
      <c r="V18" s="14">
        <f t="shared" si="6"/>
        <v>15</v>
      </c>
    </row>
    <row r="19" spans="4:25" x14ac:dyDescent="0.2">
      <c r="D19" s="21">
        <v>44033</v>
      </c>
      <c r="E19" s="30"/>
      <c r="F19" s="22">
        <v>11</v>
      </c>
      <c r="G19" s="23">
        <v>8</v>
      </c>
      <c r="H19" s="22">
        <v>19</v>
      </c>
      <c r="I19" s="23">
        <v>5</v>
      </c>
      <c r="J19" s="22">
        <v>0</v>
      </c>
      <c r="K19" s="23">
        <v>0</v>
      </c>
      <c r="L19" s="22">
        <v>0</v>
      </c>
      <c r="M19" s="23">
        <v>0</v>
      </c>
      <c r="N19" s="1"/>
      <c r="O19" s="25">
        <f t="shared" si="1"/>
        <v>7.9499999999999993</v>
      </c>
      <c r="P19" s="26">
        <f t="shared" si="7"/>
        <v>7.2499999999999991</v>
      </c>
      <c r="Q19" s="27">
        <f t="shared" si="2"/>
        <v>0.24999999999999911</v>
      </c>
      <c r="R19" s="1"/>
      <c r="S19" s="13">
        <f t="shared" si="3"/>
        <v>11</v>
      </c>
      <c r="T19" s="14">
        <f t="shared" si="4"/>
        <v>8</v>
      </c>
      <c r="U19" s="13">
        <f t="shared" si="5"/>
        <v>19</v>
      </c>
      <c r="V19" s="14">
        <f t="shared" si="6"/>
        <v>4.9999999999999289</v>
      </c>
    </row>
    <row r="20" spans="4:25" x14ac:dyDescent="0.2">
      <c r="D20" s="21">
        <v>44034</v>
      </c>
      <c r="E20" s="30"/>
      <c r="F20" s="22">
        <v>11</v>
      </c>
      <c r="G20" s="23">
        <v>10</v>
      </c>
      <c r="H20" s="22">
        <v>19</v>
      </c>
      <c r="I20" s="23">
        <v>5</v>
      </c>
      <c r="J20" s="22">
        <v>9</v>
      </c>
      <c r="K20" s="23">
        <v>0</v>
      </c>
      <c r="L20" s="22">
        <v>9</v>
      </c>
      <c r="M20" s="23">
        <v>30</v>
      </c>
      <c r="N20" s="1"/>
      <c r="O20" s="25">
        <f t="shared" si="1"/>
        <v>8.4166666666666661</v>
      </c>
      <c r="P20" s="26">
        <f t="shared" si="7"/>
        <v>7.7166666666666659</v>
      </c>
      <c r="Q20" s="27">
        <f t="shared" si="2"/>
        <v>0.7166666666666659</v>
      </c>
      <c r="R20" s="1"/>
      <c r="S20" s="13">
        <f t="shared" si="3"/>
        <v>11</v>
      </c>
      <c r="T20" s="14">
        <f t="shared" si="4"/>
        <v>10</v>
      </c>
      <c r="U20" s="13">
        <f t="shared" si="5"/>
        <v>19</v>
      </c>
      <c r="V20" s="14">
        <f t="shared" si="6"/>
        <v>34.999999999999929</v>
      </c>
    </row>
    <row r="21" spans="4:25" x14ac:dyDescent="0.2">
      <c r="D21" s="21">
        <v>44035</v>
      </c>
      <c r="E21" s="30"/>
      <c r="F21" s="22">
        <v>8</v>
      </c>
      <c r="G21" s="23">
        <v>52</v>
      </c>
      <c r="H21" s="22">
        <v>18</v>
      </c>
      <c r="I21" s="23">
        <v>10</v>
      </c>
      <c r="J21" s="22">
        <v>0</v>
      </c>
      <c r="K21" s="23">
        <v>0</v>
      </c>
      <c r="L21" s="22">
        <v>0</v>
      </c>
      <c r="M21" s="23">
        <v>0</v>
      </c>
      <c r="N21" s="1"/>
      <c r="O21" s="25">
        <f t="shared" si="1"/>
        <v>9.3000000000000007</v>
      </c>
      <c r="P21" s="26">
        <f t="shared" si="7"/>
        <v>8.6000000000000014</v>
      </c>
      <c r="Q21" s="27">
        <f t="shared" si="2"/>
        <v>1.6000000000000014</v>
      </c>
      <c r="R21" s="1"/>
      <c r="S21" s="13">
        <f t="shared" si="3"/>
        <v>8</v>
      </c>
      <c r="T21" s="14">
        <f t="shared" si="4"/>
        <v>52</v>
      </c>
      <c r="U21" s="13">
        <f t="shared" si="5"/>
        <v>18</v>
      </c>
      <c r="V21" s="14">
        <f t="shared" si="6"/>
        <v>10.000000000000071</v>
      </c>
    </row>
    <row r="22" spans="4:25" ht="13.5" thickBot="1" x14ac:dyDescent="0.25">
      <c r="D22" s="21">
        <v>44036</v>
      </c>
      <c r="E22" s="30"/>
      <c r="F22" s="22">
        <v>8</v>
      </c>
      <c r="G22" s="23">
        <v>50</v>
      </c>
      <c r="H22" s="22">
        <v>13</v>
      </c>
      <c r="I22" s="23">
        <v>20</v>
      </c>
      <c r="J22" s="22">
        <v>0</v>
      </c>
      <c r="K22" s="23">
        <v>0</v>
      </c>
      <c r="L22" s="22">
        <v>0</v>
      </c>
      <c r="M22" s="23">
        <v>0</v>
      </c>
      <c r="N22" s="1"/>
      <c r="O22" s="25">
        <f t="shared" si="1"/>
        <v>4.5</v>
      </c>
      <c r="P22" s="26">
        <f t="shared" si="7"/>
        <v>3.8</v>
      </c>
      <c r="Q22" s="27">
        <f t="shared" si="2"/>
        <v>-3.2</v>
      </c>
      <c r="R22" s="1"/>
      <c r="S22" s="13">
        <f t="shared" si="3"/>
        <v>8</v>
      </c>
      <c r="T22" s="14">
        <f t="shared" si="4"/>
        <v>50</v>
      </c>
      <c r="U22" s="13">
        <f t="shared" si="5"/>
        <v>13</v>
      </c>
      <c r="V22" s="14">
        <f t="shared" si="6"/>
        <v>20.000000000000036</v>
      </c>
    </row>
    <row r="23" spans="4:25" ht="13.5" thickBot="1" x14ac:dyDescent="0.25">
      <c r="D23" s="21">
        <v>44037</v>
      </c>
      <c r="E23" s="30"/>
      <c r="F23" s="22" t="s">
        <v>16</v>
      </c>
      <c r="G23" s="23" t="s">
        <v>16</v>
      </c>
      <c r="H23" s="22" t="s">
        <v>16</v>
      </c>
      <c r="I23" s="23" t="s">
        <v>16</v>
      </c>
      <c r="J23" s="22" t="s">
        <v>16</v>
      </c>
      <c r="K23" s="23" t="s">
        <v>16</v>
      </c>
      <c r="L23" s="22" t="s">
        <v>16</v>
      </c>
      <c r="M23" s="24" t="s">
        <v>16</v>
      </c>
      <c r="N23" s="1"/>
      <c r="O23" s="25" t="str">
        <f t="shared" si="1"/>
        <v>-</v>
      </c>
      <c r="P23" s="26">
        <f t="shared" si="7"/>
        <v>0</v>
      </c>
      <c r="Q23" s="27" t="str">
        <f t="shared" si="2"/>
        <v>-</v>
      </c>
      <c r="R23" s="1"/>
      <c r="S23" s="13" t="str">
        <f t="shared" si="3"/>
        <v>-</v>
      </c>
      <c r="T23" s="14" t="str">
        <f t="shared" si="4"/>
        <v>-</v>
      </c>
      <c r="U23" s="13" t="str">
        <f t="shared" si="5"/>
        <v>-</v>
      </c>
      <c r="V23" s="14" t="str">
        <f t="shared" si="6"/>
        <v>-</v>
      </c>
      <c r="Y23" s="31"/>
    </row>
    <row r="24" spans="4:25" ht="13.5" thickBot="1" x14ac:dyDescent="0.25">
      <c r="D24" s="21">
        <v>44038</v>
      </c>
      <c r="E24" s="30"/>
      <c r="F24" s="22" t="s">
        <v>16</v>
      </c>
      <c r="G24" s="23" t="s">
        <v>16</v>
      </c>
      <c r="H24" s="22" t="s">
        <v>16</v>
      </c>
      <c r="I24" s="23" t="s">
        <v>16</v>
      </c>
      <c r="J24" s="22" t="s">
        <v>16</v>
      </c>
      <c r="K24" s="23" t="s">
        <v>16</v>
      </c>
      <c r="L24" s="22" t="s">
        <v>16</v>
      </c>
      <c r="M24" s="23" t="s">
        <v>16</v>
      </c>
      <c r="N24" s="1"/>
      <c r="O24" s="25" t="str">
        <f t="shared" si="1"/>
        <v>-</v>
      </c>
      <c r="P24" s="26">
        <f t="shared" si="7"/>
        <v>0</v>
      </c>
      <c r="Q24" s="27" t="str">
        <f t="shared" si="2"/>
        <v>-</v>
      </c>
      <c r="R24" s="1"/>
      <c r="S24" s="13" t="str">
        <f t="shared" si="3"/>
        <v>-</v>
      </c>
      <c r="T24" s="14" t="str">
        <f t="shared" si="4"/>
        <v>-</v>
      </c>
      <c r="U24" s="13" t="str">
        <f t="shared" si="5"/>
        <v>-</v>
      </c>
      <c r="V24" s="14" t="str">
        <f t="shared" si="6"/>
        <v>-</v>
      </c>
    </row>
    <row r="25" spans="4:25" ht="13.5" thickBot="1" x14ac:dyDescent="0.25">
      <c r="D25" s="21">
        <v>44039</v>
      </c>
      <c r="E25" s="30"/>
      <c r="F25" s="22" t="s">
        <v>16</v>
      </c>
      <c r="G25" s="23" t="s">
        <v>16</v>
      </c>
      <c r="H25" s="22" t="s">
        <v>16</v>
      </c>
      <c r="I25" s="23" t="s">
        <v>16</v>
      </c>
      <c r="J25" s="22" t="s">
        <v>16</v>
      </c>
      <c r="K25" s="23" t="s">
        <v>16</v>
      </c>
      <c r="L25" s="22" t="s">
        <v>16</v>
      </c>
      <c r="M25" s="23" t="s">
        <v>16</v>
      </c>
      <c r="N25" s="1"/>
      <c r="O25" s="25" t="str">
        <f t="shared" si="1"/>
        <v>-</v>
      </c>
      <c r="P25" s="26">
        <f t="shared" si="7"/>
        <v>0</v>
      </c>
      <c r="Q25" s="27" t="str">
        <f t="shared" si="2"/>
        <v>-</v>
      </c>
      <c r="R25" s="1"/>
      <c r="S25" s="13" t="str">
        <f t="shared" si="3"/>
        <v>-</v>
      </c>
      <c r="T25" s="14" t="str">
        <f t="shared" si="4"/>
        <v>-</v>
      </c>
      <c r="U25" s="13" t="str">
        <f t="shared" si="5"/>
        <v>-</v>
      </c>
      <c r="V25" s="14" t="str">
        <f t="shared" si="6"/>
        <v>-</v>
      </c>
      <c r="X25" s="31"/>
    </row>
    <row r="26" spans="4:25" x14ac:dyDescent="0.2">
      <c r="D26" s="21">
        <v>44040</v>
      </c>
      <c r="E26" s="30"/>
      <c r="F26" s="22" t="s">
        <v>16</v>
      </c>
      <c r="G26" s="23" t="s">
        <v>16</v>
      </c>
      <c r="H26" s="22" t="s">
        <v>16</v>
      </c>
      <c r="I26" s="23" t="s">
        <v>16</v>
      </c>
      <c r="J26" s="22" t="s">
        <v>16</v>
      </c>
      <c r="K26" s="23" t="s">
        <v>16</v>
      </c>
      <c r="L26" s="22" t="s">
        <v>16</v>
      </c>
      <c r="M26" s="23" t="s">
        <v>16</v>
      </c>
      <c r="N26" s="1"/>
      <c r="O26" s="25" t="str">
        <f t="shared" si="1"/>
        <v>-</v>
      </c>
      <c r="P26" s="26">
        <f t="shared" si="7"/>
        <v>0</v>
      </c>
      <c r="Q26" s="27" t="str">
        <f t="shared" si="2"/>
        <v>-</v>
      </c>
      <c r="R26" s="1"/>
      <c r="S26" s="13" t="str">
        <f t="shared" si="3"/>
        <v>-</v>
      </c>
      <c r="T26" s="14" t="str">
        <f t="shared" si="4"/>
        <v>-</v>
      </c>
      <c r="U26" s="13" t="str">
        <f t="shared" si="5"/>
        <v>-</v>
      </c>
      <c r="V26" s="14" t="str">
        <f t="shared" si="6"/>
        <v>-</v>
      </c>
    </row>
    <row r="27" spans="4:25" x14ac:dyDescent="0.2">
      <c r="D27" s="21">
        <v>44041</v>
      </c>
      <c r="E27" s="30"/>
      <c r="F27" s="22" t="s">
        <v>16</v>
      </c>
      <c r="G27" s="23" t="s">
        <v>16</v>
      </c>
      <c r="H27" s="22" t="s">
        <v>16</v>
      </c>
      <c r="I27" s="23" t="s">
        <v>16</v>
      </c>
      <c r="J27" s="22" t="s">
        <v>16</v>
      </c>
      <c r="K27" s="23" t="s">
        <v>16</v>
      </c>
      <c r="L27" s="22" t="s">
        <v>16</v>
      </c>
      <c r="M27" s="23" t="s">
        <v>16</v>
      </c>
      <c r="N27" s="1"/>
      <c r="O27" s="25" t="str">
        <f t="shared" si="1"/>
        <v>-</v>
      </c>
      <c r="P27" s="26">
        <f t="shared" si="7"/>
        <v>0</v>
      </c>
      <c r="Q27" s="27" t="str">
        <f t="shared" si="2"/>
        <v>-</v>
      </c>
      <c r="R27" s="1"/>
      <c r="S27" s="13" t="str">
        <f t="shared" si="3"/>
        <v>-</v>
      </c>
      <c r="T27" s="14" t="str">
        <f t="shared" si="4"/>
        <v>-</v>
      </c>
      <c r="U27" s="13" t="str">
        <f t="shared" si="5"/>
        <v>-</v>
      </c>
      <c r="V27" s="14" t="str">
        <f t="shared" si="6"/>
        <v>-</v>
      </c>
    </row>
    <row r="28" spans="4:25" x14ac:dyDescent="0.2">
      <c r="D28" s="21">
        <v>44042</v>
      </c>
      <c r="E28" s="30"/>
      <c r="F28" s="22" t="s">
        <v>16</v>
      </c>
      <c r="G28" s="23" t="s">
        <v>16</v>
      </c>
      <c r="H28" s="22" t="s">
        <v>16</v>
      </c>
      <c r="I28" s="23" t="s">
        <v>16</v>
      </c>
      <c r="J28" s="22" t="s">
        <v>16</v>
      </c>
      <c r="K28" s="23" t="s">
        <v>16</v>
      </c>
      <c r="L28" s="22" t="s">
        <v>16</v>
      </c>
      <c r="M28" s="23" t="s">
        <v>16</v>
      </c>
      <c r="N28" s="1"/>
      <c r="O28" s="25" t="str">
        <f t="shared" si="1"/>
        <v>-</v>
      </c>
      <c r="P28" s="26">
        <f t="shared" si="7"/>
        <v>0</v>
      </c>
      <c r="Q28" s="27" t="str">
        <f t="shared" si="2"/>
        <v>-</v>
      </c>
      <c r="R28" s="1"/>
      <c r="S28" s="13" t="str">
        <f t="shared" si="3"/>
        <v>-</v>
      </c>
      <c r="T28" s="14" t="str">
        <f t="shared" si="4"/>
        <v>-</v>
      </c>
      <c r="U28" s="13" t="str">
        <f t="shared" si="5"/>
        <v>-</v>
      </c>
      <c r="V28" s="14" t="str">
        <f t="shared" si="6"/>
        <v>-</v>
      </c>
    </row>
    <row r="29" spans="4:25" x14ac:dyDescent="0.2">
      <c r="D29" s="21">
        <v>44043</v>
      </c>
      <c r="E29" s="30"/>
      <c r="F29" s="22" t="s">
        <v>16</v>
      </c>
      <c r="G29" s="23" t="s">
        <v>16</v>
      </c>
      <c r="H29" s="22" t="s">
        <v>16</v>
      </c>
      <c r="I29" s="23" t="s">
        <v>16</v>
      </c>
      <c r="J29" s="22" t="s">
        <v>16</v>
      </c>
      <c r="K29" s="23" t="s">
        <v>16</v>
      </c>
      <c r="L29" s="22" t="s">
        <v>16</v>
      </c>
      <c r="M29" s="23" t="s">
        <v>16</v>
      </c>
      <c r="N29" s="1"/>
      <c r="O29" s="25" t="str">
        <f t="shared" si="1"/>
        <v>-</v>
      </c>
      <c r="P29" s="26">
        <f t="shared" si="7"/>
        <v>0</v>
      </c>
      <c r="Q29" s="27" t="str">
        <f t="shared" si="2"/>
        <v>-</v>
      </c>
      <c r="R29" s="1"/>
      <c r="S29" s="13" t="str">
        <f t="shared" si="3"/>
        <v>-</v>
      </c>
      <c r="T29" s="14" t="str">
        <f t="shared" si="4"/>
        <v>-</v>
      </c>
      <c r="U29" s="13" t="str">
        <f t="shared" si="5"/>
        <v>-</v>
      </c>
      <c r="V29" s="14" t="str">
        <f t="shared" si="6"/>
        <v>-</v>
      </c>
    </row>
    <row r="30" spans="4:25" x14ac:dyDescent="0.2">
      <c r="D30" s="21"/>
      <c r="E30" s="30"/>
      <c r="F30" s="22"/>
      <c r="G30" s="23"/>
      <c r="H30" s="22"/>
      <c r="I30" s="23"/>
      <c r="J30" s="22"/>
      <c r="K30" s="23"/>
      <c r="L30" s="22"/>
      <c r="M30" s="23"/>
      <c r="N30" s="1"/>
      <c r="O30" s="25">
        <f t="shared" si="1"/>
        <v>0</v>
      </c>
      <c r="P30" s="26">
        <f t="shared" si="7"/>
        <v>0</v>
      </c>
      <c r="Q30" s="27" t="str">
        <f t="shared" si="2"/>
        <v>-</v>
      </c>
      <c r="R30" s="1"/>
      <c r="S30" s="13">
        <f t="shared" si="3"/>
        <v>0</v>
      </c>
      <c r="T30" s="14">
        <f t="shared" si="4"/>
        <v>0</v>
      </c>
      <c r="U30" s="13">
        <f t="shared" si="5"/>
        <v>0</v>
      </c>
      <c r="V30" s="14">
        <f t="shared" si="6"/>
        <v>0</v>
      </c>
    </row>
    <row r="31" spans="4:25" x14ac:dyDescent="0.2">
      <c r="D31" s="21"/>
      <c r="E31" s="30"/>
      <c r="F31" s="22"/>
      <c r="G31" s="23"/>
      <c r="H31" s="22"/>
      <c r="I31" s="23"/>
      <c r="J31" s="22"/>
      <c r="K31" s="23"/>
      <c r="L31" s="22"/>
      <c r="M31" s="23"/>
      <c r="N31" s="1"/>
      <c r="O31" s="25">
        <f t="shared" si="1"/>
        <v>0</v>
      </c>
      <c r="P31" s="26">
        <f t="shared" si="7"/>
        <v>0</v>
      </c>
      <c r="Q31" s="27" t="str">
        <f t="shared" si="2"/>
        <v>-</v>
      </c>
      <c r="R31" s="1"/>
      <c r="S31" s="13">
        <f t="shared" si="3"/>
        <v>0</v>
      </c>
      <c r="T31" s="14">
        <f t="shared" si="4"/>
        <v>0</v>
      </c>
      <c r="U31" s="13">
        <f t="shared" si="5"/>
        <v>0</v>
      </c>
      <c r="V31" s="14">
        <f t="shared" si="6"/>
        <v>0</v>
      </c>
    </row>
    <row r="32" spans="4:25" x14ac:dyDescent="0.2">
      <c r="D32" s="21"/>
      <c r="E32" s="30"/>
      <c r="F32" s="22"/>
      <c r="G32" s="23"/>
      <c r="H32" s="22"/>
      <c r="I32" s="23"/>
      <c r="J32" s="22"/>
      <c r="K32" s="23"/>
      <c r="L32" s="22"/>
      <c r="M32" s="23"/>
      <c r="N32" s="1"/>
      <c r="O32" s="25">
        <f t="shared" si="1"/>
        <v>0</v>
      </c>
      <c r="P32" s="26">
        <f t="shared" si="7"/>
        <v>0</v>
      </c>
      <c r="Q32" s="27" t="str">
        <f t="shared" si="2"/>
        <v>-</v>
      </c>
      <c r="R32" s="1"/>
      <c r="S32" s="13">
        <f t="shared" si="3"/>
        <v>0</v>
      </c>
      <c r="T32" s="14">
        <f t="shared" si="4"/>
        <v>0</v>
      </c>
      <c r="U32" s="13">
        <f t="shared" si="5"/>
        <v>0</v>
      </c>
      <c r="V32" s="14">
        <f t="shared" si="6"/>
        <v>0</v>
      </c>
    </row>
    <row r="33" spans="4:22" x14ac:dyDescent="0.2">
      <c r="D33" s="21"/>
      <c r="E33" s="30"/>
      <c r="F33" s="22"/>
      <c r="G33" s="23"/>
      <c r="H33" s="22"/>
      <c r="I33" s="23"/>
      <c r="J33" s="22"/>
      <c r="K33" s="23"/>
      <c r="L33" s="22"/>
      <c r="M33" s="23"/>
      <c r="N33" s="1"/>
      <c r="O33" s="25">
        <f t="shared" si="1"/>
        <v>0</v>
      </c>
      <c r="P33" s="26">
        <f t="shared" si="7"/>
        <v>0</v>
      </c>
      <c r="Q33" s="27" t="str">
        <f t="shared" si="2"/>
        <v>-</v>
      </c>
      <c r="R33" s="1"/>
      <c r="S33" s="13">
        <f t="shared" si="3"/>
        <v>0</v>
      </c>
      <c r="T33" s="14">
        <f t="shared" si="4"/>
        <v>0</v>
      </c>
      <c r="U33" s="13">
        <f t="shared" si="5"/>
        <v>0</v>
      </c>
      <c r="V33" s="14">
        <f t="shared" si="6"/>
        <v>0</v>
      </c>
    </row>
    <row r="34" spans="4:22" x14ac:dyDescent="0.2">
      <c r="D34" s="21"/>
      <c r="E34" s="30"/>
      <c r="F34" s="22"/>
      <c r="G34" s="23"/>
      <c r="H34" s="22"/>
      <c r="I34" s="23"/>
      <c r="J34" s="22"/>
      <c r="K34" s="23"/>
      <c r="L34" s="22"/>
      <c r="M34" s="23"/>
      <c r="N34" s="1"/>
      <c r="O34" s="25">
        <f t="shared" si="1"/>
        <v>0</v>
      </c>
      <c r="P34" s="26">
        <f t="shared" si="7"/>
        <v>0</v>
      </c>
      <c r="Q34" s="27" t="str">
        <f t="shared" si="2"/>
        <v>-</v>
      </c>
      <c r="R34" s="1"/>
      <c r="S34" s="13">
        <f t="shared" si="3"/>
        <v>0</v>
      </c>
      <c r="T34" s="14">
        <f t="shared" si="4"/>
        <v>0</v>
      </c>
      <c r="U34" s="13">
        <f t="shared" si="5"/>
        <v>0</v>
      </c>
      <c r="V34" s="14">
        <f t="shared" si="6"/>
        <v>0</v>
      </c>
    </row>
    <row r="35" spans="4:22" x14ac:dyDescent="0.2">
      <c r="D35" s="21"/>
      <c r="E35" s="30"/>
      <c r="F35" s="22"/>
      <c r="G35" s="23"/>
      <c r="H35" s="22"/>
      <c r="I35" s="23"/>
      <c r="J35" s="22"/>
      <c r="K35" s="23"/>
      <c r="L35" s="22"/>
      <c r="M35" s="23"/>
      <c r="N35" s="1"/>
      <c r="O35" s="25">
        <f t="shared" si="1"/>
        <v>0</v>
      </c>
      <c r="P35" s="26">
        <f t="shared" si="7"/>
        <v>0</v>
      </c>
      <c r="Q35" s="27" t="str">
        <f t="shared" si="2"/>
        <v>-</v>
      </c>
      <c r="R35" s="1"/>
      <c r="S35" s="13">
        <f t="shared" si="3"/>
        <v>0</v>
      </c>
      <c r="T35" s="14">
        <f t="shared" si="4"/>
        <v>0</v>
      </c>
      <c r="U35" s="13">
        <f t="shared" si="5"/>
        <v>0</v>
      </c>
      <c r="V35" s="14">
        <f t="shared" si="6"/>
        <v>0</v>
      </c>
    </row>
    <row r="36" spans="4:22" x14ac:dyDescent="0.2">
      <c r="D36" s="21"/>
      <c r="E36" s="30"/>
      <c r="F36" s="22"/>
      <c r="G36" s="23"/>
      <c r="H36" s="22"/>
      <c r="I36" s="23"/>
      <c r="J36" s="22"/>
      <c r="K36" s="23"/>
      <c r="L36" s="22"/>
      <c r="M36" s="23"/>
      <c r="N36" s="1"/>
      <c r="O36" s="25">
        <f t="shared" si="1"/>
        <v>0</v>
      </c>
      <c r="P36" s="26">
        <f t="shared" si="7"/>
        <v>0</v>
      </c>
      <c r="Q36" s="27" t="str">
        <f t="shared" si="2"/>
        <v>-</v>
      </c>
      <c r="R36" s="1"/>
      <c r="S36" s="13">
        <f t="shared" si="3"/>
        <v>0</v>
      </c>
      <c r="T36" s="14">
        <f t="shared" si="4"/>
        <v>0</v>
      </c>
      <c r="U36" s="13">
        <f t="shared" si="5"/>
        <v>0</v>
      </c>
      <c r="V36" s="14">
        <f t="shared" si="6"/>
        <v>0</v>
      </c>
    </row>
    <row r="37" spans="4:22" x14ac:dyDescent="0.2">
      <c r="D37" s="21"/>
      <c r="E37" s="28"/>
      <c r="F37" s="22"/>
      <c r="G37" s="23"/>
      <c r="H37" s="22"/>
      <c r="I37" s="23"/>
      <c r="J37" s="22"/>
      <c r="K37" s="23"/>
      <c r="L37" s="22"/>
      <c r="M37" s="23"/>
      <c r="N37" s="1"/>
      <c r="O37" s="25">
        <f t="shared" si="1"/>
        <v>0</v>
      </c>
      <c r="P37" s="26">
        <f t="shared" si="7"/>
        <v>0</v>
      </c>
      <c r="Q37" s="27" t="str">
        <f t="shared" si="2"/>
        <v>-</v>
      </c>
      <c r="R37" s="1"/>
      <c r="S37" s="13">
        <f t="shared" si="3"/>
        <v>0</v>
      </c>
      <c r="T37" s="14">
        <f t="shared" si="4"/>
        <v>0</v>
      </c>
      <c r="U37" s="13">
        <f t="shared" si="5"/>
        <v>0</v>
      </c>
      <c r="V37" s="14">
        <f t="shared" si="6"/>
        <v>0</v>
      </c>
    </row>
    <row r="38" spans="4:22" x14ac:dyDescent="0.2">
      <c r="D38" s="21"/>
      <c r="E38" s="28"/>
      <c r="F38" s="22"/>
      <c r="G38" s="23"/>
      <c r="H38" s="22"/>
      <c r="I38" s="23"/>
      <c r="J38" s="22"/>
      <c r="K38" s="23"/>
      <c r="L38" s="22"/>
      <c r="M38" s="23"/>
      <c r="N38" s="1"/>
      <c r="O38" s="25">
        <f t="shared" si="1"/>
        <v>0</v>
      </c>
      <c r="P38" s="26">
        <f t="shared" si="7"/>
        <v>0</v>
      </c>
      <c r="Q38" s="27" t="str">
        <f t="shared" si="2"/>
        <v>-</v>
      </c>
      <c r="R38" s="1"/>
      <c r="S38" s="13">
        <f t="shared" si="3"/>
        <v>0</v>
      </c>
      <c r="T38" s="14">
        <f t="shared" si="4"/>
        <v>0</v>
      </c>
      <c r="U38" s="13">
        <f t="shared" si="5"/>
        <v>0</v>
      </c>
      <c r="V38" s="14">
        <f t="shared" si="6"/>
        <v>0</v>
      </c>
    </row>
    <row r="39" spans="4:22" x14ac:dyDescent="0.2">
      <c r="D39" s="21"/>
      <c r="E39" s="28"/>
      <c r="F39" s="22"/>
      <c r="G39" s="23"/>
      <c r="H39" s="22"/>
      <c r="I39" s="23"/>
      <c r="J39" s="22"/>
      <c r="K39" s="23"/>
      <c r="L39" s="22"/>
      <c r="M39" s="23"/>
      <c r="N39" s="1"/>
      <c r="O39" s="25">
        <f t="shared" si="1"/>
        <v>0</v>
      </c>
      <c r="P39" s="26">
        <f t="shared" si="7"/>
        <v>0</v>
      </c>
      <c r="Q39" s="27" t="str">
        <f t="shared" si="2"/>
        <v>-</v>
      </c>
      <c r="R39" s="1"/>
      <c r="S39" s="13">
        <f t="shared" si="3"/>
        <v>0</v>
      </c>
      <c r="T39" s="14">
        <f t="shared" si="4"/>
        <v>0</v>
      </c>
      <c r="U39" s="13">
        <f t="shared" si="5"/>
        <v>0</v>
      </c>
      <c r="V39" s="14">
        <f t="shared" si="6"/>
        <v>0</v>
      </c>
    </row>
    <row r="40" spans="4:22" x14ac:dyDescent="0.2">
      <c r="D40" s="21"/>
      <c r="E40" s="28"/>
      <c r="F40" s="22"/>
      <c r="G40" s="23"/>
      <c r="H40" s="22"/>
      <c r="I40" s="23"/>
      <c r="J40" s="22"/>
      <c r="K40" s="23"/>
      <c r="L40" s="22"/>
      <c r="M40" s="23"/>
      <c r="N40" s="1"/>
      <c r="O40" s="25">
        <f t="shared" si="1"/>
        <v>0</v>
      </c>
      <c r="P40" s="26">
        <f t="shared" si="7"/>
        <v>0</v>
      </c>
      <c r="Q40" s="27" t="str">
        <f t="shared" si="2"/>
        <v>-</v>
      </c>
      <c r="R40" s="1"/>
      <c r="S40" s="13">
        <f t="shared" si="3"/>
        <v>0</v>
      </c>
      <c r="T40" s="14">
        <f t="shared" si="4"/>
        <v>0</v>
      </c>
      <c r="U40" s="13">
        <f t="shared" si="5"/>
        <v>0</v>
      </c>
      <c r="V40" s="14">
        <f t="shared" si="6"/>
        <v>0</v>
      </c>
    </row>
    <row r="41" spans="4:22" x14ac:dyDescent="0.2">
      <c r="D41" s="21"/>
      <c r="E41" s="28"/>
      <c r="F41" s="22"/>
      <c r="G41" s="23"/>
      <c r="H41" s="22"/>
      <c r="I41" s="23"/>
      <c r="J41" s="22"/>
      <c r="K41" s="23"/>
      <c r="L41" s="22"/>
      <c r="M41" s="23"/>
      <c r="N41" s="1"/>
      <c r="O41" s="25">
        <f t="shared" si="1"/>
        <v>0</v>
      </c>
      <c r="P41" s="26">
        <f t="shared" si="7"/>
        <v>0</v>
      </c>
      <c r="Q41" s="27" t="str">
        <f t="shared" si="2"/>
        <v>-</v>
      </c>
      <c r="R41" s="1"/>
      <c r="S41" s="13">
        <f t="shared" si="3"/>
        <v>0</v>
      </c>
      <c r="T41" s="14">
        <f t="shared" si="4"/>
        <v>0</v>
      </c>
      <c r="U41" s="13">
        <f t="shared" si="5"/>
        <v>0</v>
      </c>
      <c r="V41" s="14">
        <f t="shared" si="6"/>
        <v>0</v>
      </c>
    </row>
    <row r="42" spans="4:22" x14ac:dyDescent="0.2">
      <c r="D42" s="21"/>
      <c r="E42" s="28"/>
      <c r="F42" s="22"/>
      <c r="G42" s="23"/>
      <c r="H42" s="22"/>
      <c r="I42" s="23"/>
      <c r="J42" s="22"/>
      <c r="K42" s="23"/>
      <c r="L42" s="22"/>
      <c r="M42" s="23"/>
      <c r="N42" s="1"/>
      <c r="O42" s="25">
        <f t="shared" si="1"/>
        <v>0</v>
      </c>
      <c r="P42" s="26">
        <f t="shared" si="7"/>
        <v>0</v>
      </c>
      <c r="Q42" s="27" t="str">
        <f t="shared" si="2"/>
        <v>-</v>
      </c>
      <c r="R42" s="1"/>
      <c r="S42" s="13">
        <f t="shared" si="3"/>
        <v>0</v>
      </c>
      <c r="T42" s="14">
        <f t="shared" si="4"/>
        <v>0</v>
      </c>
      <c r="U42" s="13">
        <f t="shared" si="5"/>
        <v>0</v>
      </c>
      <c r="V42" s="14">
        <f t="shared" si="6"/>
        <v>0</v>
      </c>
    </row>
    <row r="43" spans="4:22" x14ac:dyDescent="0.2">
      <c r="D43" s="21"/>
      <c r="E43" s="28"/>
      <c r="F43" s="22"/>
      <c r="G43" s="23"/>
      <c r="H43" s="22"/>
      <c r="I43" s="23"/>
      <c r="J43" s="22"/>
      <c r="K43" s="23"/>
      <c r="L43" s="22"/>
      <c r="M43" s="23"/>
      <c r="N43" s="1"/>
      <c r="O43" s="25">
        <f t="shared" si="1"/>
        <v>0</v>
      </c>
      <c r="P43" s="26">
        <f t="shared" si="7"/>
        <v>0</v>
      </c>
      <c r="Q43" s="27" t="str">
        <f t="shared" si="2"/>
        <v>-</v>
      </c>
      <c r="R43" s="1"/>
      <c r="S43" s="13">
        <f t="shared" si="3"/>
        <v>0</v>
      </c>
      <c r="T43" s="14">
        <f t="shared" si="4"/>
        <v>0</v>
      </c>
      <c r="U43" s="13">
        <f t="shared" si="5"/>
        <v>0</v>
      </c>
      <c r="V43" s="14">
        <f t="shared" si="6"/>
        <v>0</v>
      </c>
    </row>
    <row r="44" spans="4:22" x14ac:dyDescent="0.2">
      <c r="D44" s="21"/>
      <c r="E44" s="28"/>
      <c r="F44" s="22"/>
      <c r="G44" s="23"/>
      <c r="H44" s="22"/>
      <c r="I44" s="23"/>
      <c r="J44" s="22"/>
      <c r="K44" s="23"/>
      <c r="L44" s="22"/>
      <c r="M44" s="23"/>
      <c r="N44" s="1"/>
      <c r="O44" s="25">
        <f t="shared" si="1"/>
        <v>0</v>
      </c>
      <c r="P44" s="26">
        <f t="shared" si="7"/>
        <v>0</v>
      </c>
      <c r="Q44" s="27" t="str">
        <f t="shared" si="2"/>
        <v>-</v>
      </c>
      <c r="R44" s="1"/>
      <c r="S44" s="13">
        <f t="shared" si="3"/>
        <v>0</v>
      </c>
      <c r="T44" s="14">
        <f t="shared" si="4"/>
        <v>0</v>
      </c>
      <c r="U44" s="13">
        <f t="shared" si="5"/>
        <v>0</v>
      </c>
      <c r="V44" s="14">
        <f t="shared" si="6"/>
        <v>0</v>
      </c>
    </row>
    <row r="45" spans="4:22" x14ac:dyDescent="0.2">
      <c r="D45" s="21"/>
      <c r="E45" s="28"/>
      <c r="F45" s="22"/>
      <c r="G45" s="23"/>
      <c r="H45" s="22"/>
      <c r="I45" s="23"/>
      <c r="J45" s="22"/>
      <c r="K45" s="23"/>
      <c r="L45" s="22"/>
      <c r="M45" s="23"/>
      <c r="N45" s="1"/>
      <c r="O45" s="25">
        <f t="shared" si="1"/>
        <v>0</v>
      </c>
      <c r="P45" s="26">
        <f t="shared" si="7"/>
        <v>0</v>
      </c>
      <c r="Q45" s="27" t="str">
        <f t="shared" si="2"/>
        <v>-</v>
      </c>
      <c r="R45" s="1"/>
      <c r="S45" s="13">
        <f t="shared" si="3"/>
        <v>0</v>
      </c>
      <c r="T45" s="14">
        <f t="shared" si="4"/>
        <v>0</v>
      </c>
      <c r="U45" s="13">
        <f t="shared" si="5"/>
        <v>0</v>
      </c>
      <c r="V45" s="14">
        <f t="shared" si="6"/>
        <v>0</v>
      </c>
    </row>
    <row r="46" spans="4:22" x14ac:dyDescent="0.2">
      <c r="D46" s="21"/>
      <c r="E46" s="28"/>
      <c r="F46" s="22"/>
      <c r="G46" s="23"/>
      <c r="H46" s="22"/>
      <c r="I46" s="23"/>
      <c r="J46" s="22"/>
      <c r="K46" s="23"/>
      <c r="L46" s="22"/>
      <c r="M46" s="23"/>
      <c r="N46" s="1"/>
      <c r="O46" s="25">
        <f t="shared" si="1"/>
        <v>0</v>
      </c>
      <c r="P46" s="26">
        <f t="shared" si="7"/>
        <v>0</v>
      </c>
      <c r="Q46" s="27" t="str">
        <f t="shared" si="2"/>
        <v>-</v>
      </c>
      <c r="R46" s="1"/>
      <c r="S46" s="13">
        <f t="shared" si="3"/>
        <v>0</v>
      </c>
      <c r="T46" s="14">
        <f t="shared" si="4"/>
        <v>0</v>
      </c>
      <c r="U46" s="13">
        <f t="shared" si="5"/>
        <v>0</v>
      </c>
      <c r="V46" s="14">
        <f t="shared" si="6"/>
        <v>0</v>
      </c>
    </row>
    <row r="47" spans="4:22" ht="13.5" thickBot="1" x14ac:dyDescent="0.25">
      <c r="D47" s="39"/>
      <c r="E47" s="28"/>
      <c r="F47" s="33"/>
      <c r="G47" s="34"/>
      <c r="H47" s="33"/>
      <c r="I47" s="34"/>
      <c r="J47" s="33"/>
      <c r="K47" s="34"/>
      <c r="L47" s="33"/>
      <c r="M47" s="34"/>
      <c r="N47" s="1"/>
      <c r="O47" s="35">
        <f t="shared" si="1"/>
        <v>0</v>
      </c>
      <c r="P47" s="44">
        <f t="shared" si="7"/>
        <v>0</v>
      </c>
      <c r="Q47" s="36" t="str">
        <f t="shared" si="2"/>
        <v>-</v>
      </c>
      <c r="R47" s="1"/>
      <c r="S47" s="37">
        <f t="shared" si="3"/>
        <v>0</v>
      </c>
      <c r="T47" s="38">
        <f t="shared" si="4"/>
        <v>0</v>
      </c>
      <c r="U47" s="37">
        <f t="shared" si="5"/>
        <v>0</v>
      </c>
      <c r="V47" s="38">
        <f t="shared" si="6"/>
        <v>0</v>
      </c>
    </row>
  </sheetData>
  <mergeCells count="11">
    <mergeCell ref="D3:D5"/>
    <mergeCell ref="F4:G4"/>
    <mergeCell ref="H4:I4"/>
    <mergeCell ref="J4:K4"/>
    <mergeCell ref="L4:M4"/>
    <mergeCell ref="S4:T4"/>
    <mergeCell ref="U4:V4"/>
    <mergeCell ref="S3:V3"/>
    <mergeCell ref="F3:I3"/>
    <mergeCell ref="J3:M3"/>
    <mergeCell ref="O3:Q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Z47"/>
  <sheetViews>
    <sheetView showGridLines="0" zoomScaleNormal="100" workbookViewId="0">
      <selection activeCell="B14" sqref="B14"/>
    </sheetView>
  </sheetViews>
  <sheetFormatPr defaultRowHeight="12.75" x14ac:dyDescent="0.2"/>
  <cols>
    <col min="2" max="2" width="20.140625" bestFit="1" customWidth="1"/>
    <col min="5" max="5" width="0.7109375" customWidth="1"/>
    <col min="6" max="6" width="8.140625" bestFit="1" customWidth="1"/>
    <col min="7" max="7" width="12.28515625" bestFit="1" customWidth="1"/>
    <col min="8" max="8" width="8.140625" bestFit="1" customWidth="1"/>
    <col min="9" max="9" width="12.28515625" bestFit="1" customWidth="1"/>
    <col min="10" max="10" width="8.140625" bestFit="1" customWidth="1"/>
    <col min="11" max="11" width="12.28515625" bestFit="1" customWidth="1"/>
    <col min="12" max="12" width="8.140625" bestFit="1" customWidth="1"/>
    <col min="13" max="13" width="12.28515625" bestFit="1" customWidth="1"/>
    <col min="14" max="14" width="0.85546875" customWidth="1"/>
    <col min="15" max="15" width="13.140625" bestFit="1" customWidth="1"/>
    <col min="16" max="16" width="16.28515625" customWidth="1"/>
    <col min="17" max="17" width="13.5703125" customWidth="1"/>
    <col min="18" max="18" width="0.85546875" customWidth="1"/>
    <col min="19" max="19" width="8.140625" bestFit="1" customWidth="1"/>
    <col min="20" max="20" width="12.28515625" bestFit="1" customWidth="1"/>
    <col min="21" max="21" width="8.140625" bestFit="1" customWidth="1"/>
    <col min="22" max="22" width="12.28515625" bestFit="1" customWidth="1"/>
  </cols>
  <sheetData>
    <row r="2" spans="2:26" ht="13.5" thickBot="1" x14ac:dyDescent="0.25"/>
    <row r="3" spans="2:26" ht="13.5" thickBot="1" x14ac:dyDescent="0.25">
      <c r="B3" s="4" t="s">
        <v>4</v>
      </c>
      <c r="D3" s="77" t="s">
        <v>0</v>
      </c>
      <c r="E3" s="28"/>
      <c r="F3" s="79" t="s">
        <v>14</v>
      </c>
      <c r="G3" s="80"/>
      <c r="H3" s="80"/>
      <c r="I3" s="81"/>
      <c r="J3" s="82" t="s">
        <v>13</v>
      </c>
      <c r="K3" s="83"/>
      <c r="L3" s="83"/>
      <c r="M3" s="84"/>
      <c r="N3" s="1"/>
      <c r="O3" s="85" t="s">
        <v>3</v>
      </c>
      <c r="P3" s="86"/>
      <c r="Q3" s="87"/>
      <c r="S3" s="91" t="s">
        <v>15</v>
      </c>
      <c r="T3" s="92"/>
      <c r="U3" s="92"/>
      <c r="V3" s="93"/>
    </row>
    <row r="4" spans="2:26" ht="13.5" thickBot="1" x14ac:dyDescent="0.25">
      <c r="B4" s="5">
        <v>7</v>
      </c>
      <c r="D4" s="78"/>
      <c r="E4" s="28"/>
      <c r="F4" s="94" t="s">
        <v>1</v>
      </c>
      <c r="G4" s="95"/>
      <c r="H4" s="75" t="s">
        <v>2</v>
      </c>
      <c r="I4" s="76"/>
      <c r="J4" s="94" t="s">
        <v>1</v>
      </c>
      <c r="K4" s="95"/>
      <c r="L4" s="75" t="s">
        <v>2</v>
      </c>
      <c r="M4" s="76"/>
      <c r="N4" s="1"/>
      <c r="O4" s="88"/>
      <c r="P4" s="89"/>
      <c r="Q4" s="90"/>
      <c r="S4" s="94" t="s">
        <v>1</v>
      </c>
      <c r="T4" s="95"/>
      <c r="U4" s="75" t="s">
        <v>2</v>
      </c>
      <c r="V4" s="76"/>
    </row>
    <row r="5" spans="2:26" ht="13.5" thickBot="1" x14ac:dyDescent="0.25">
      <c r="B5" s="1"/>
      <c r="D5" s="78"/>
      <c r="E5" s="28"/>
      <c r="F5" s="2" t="s">
        <v>6</v>
      </c>
      <c r="G5" s="3" t="s">
        <v>7</v>
      </c>
      <c r="H5" s="2" t="s">
        <v>6</v>
      </c>
      <c r="I5" s="3" t="s">
        <v>7</v>
      </c>
      <c r="J5" s="2" t="s">
        <v>6</v>
      </c>
      <c r="K5" s="3" t="s">
        <v>7</v>
      </c>
      <c r="L5" s="2" t="s">
        <v>6</v>
      </c>
      <c r="M5" s="3" t="s">
        <v>7</v>
      </c>
      <c r="N5" s="1"/>
      <c r="O5" s="2" t="s">
        <v>8</v>
      </c>
      <c r="P5" s="40" t="s">
        <v>9</v>
      </c>
      <c r="Q5" s="3" t="s">
        <v>10</v>
      </c>
      <c r="S5" s="17" t="s">
        <v>6</v>
      </c>
      <c r="T5" s="18" t="s">
        <v>7</v>
      </c>
      <c r="U5" s="2" t="s">
        <v>6</v>
      </c>
      <c r="V5" s="3" t="s">
        <v>7</v>
      </c>
    </row>
    <row r="6" spans="2:26" ht="13.5" thickBot="1" x14ac:dyDescent="0.25">
      <c r="B6" s="4" t="s">
        <v>5</v>
      </c>
      <c r="D6" s="19">
        <v>44053</v>
      </c>
      <c r="E6" s="29"/>
      <c r="F6" s="9">
        <v>11</v>
      </c>
      <c r="G6" s="10">
        <v>5</v>
      </c>
      <c r="H6" s="9">
        <v>19</v>
      </c>
      <c r="I6" s="10">
        <v>5</v>
      </c>
      <c r="J6" s="9">
        <v>0</v>
      </c>
      <c r="K6" s="10">
        <v>0</v>
      </c>
      <c r="L6" s="9">
        <v>0</v>
      </c>
      <c r="M6" s="10">
        <v>0</v>
      </c>
      <c r="N6" s="7"/>
      <c r="O6" s="41">
        <f>IFERROR(((H6+I6/60)-(F6+G6/60))+((L6+M6/60)-(J6+K6/60)), "-")</f>
        <v>7.9999999999999982</v>
      </c>
      <c r="P6" s="42">
        <f t="shared" ref="P6:P15" si="0">IFERROR(IF(O6-$B$7&gt;0,O6-$B$7, 0),0)</f>
        <v>7.299999999999998</v>
      </c>
      <c r="Q6" s="43">
        <f>IFERROR(IF(P6-$B$4&gt;-7,P6-$B$4, "-"),0)</f>
        <v>0.29999999999999805</v>
      </c>
      <c r="R6" s="8"/>
      <c r="S6" s="15">
        <f>IFERROR(F6, "-")</f>
        <v>11</v>
      </c>
      <c r="T6" s="16">
        <f>IFERROR(G6, "-")</f>
        <v>5</v>
      </c>
      <c r="U6" s="15">
        <f>IFERROR(INT(S6+T6/60+O6),"-")</f>
        <v>19</v>
      </c>
      <c r="V6" s="16">
        <f>IFERROR((S6+T6/60+O6-INT(S6+T6/60+O6))*60,"-")</f>
        <v>4.9999999999999289</v>
      </c>
    </row>
    <row r="7" spans="2:26" ht="13.5" thickBot="1" x14ac:dyDescent="0.25">
      <c r="B7" s="6">
        <f>42/60</f>
        <v>0.7</v>
      </c>
      <c r="D7" s="20">
        <v>44054</v>
      </c>
      <c r="E7" s="29"/>
      <c r="F7" s="11">
        <v>10</v>
      </c>
      <c r="G7" s="12">
        <v>43</v>
      </c>
      <c r="H7" s="11">
        <v>19</v>
      </c>
      <c r="I7" s="12">
        <v>5</v>
      </c>
      <c r="J7" s="11">
        <v>8</v>
      </c>
      <c r="K7" s="12">
        <v>55</v>
      </c>
      <c r="L7" s="11">
        <v>9</v>
      </c>
      <c r="M7" s="12">
        <v>15</v>
      </c>
      <c r="N7" s="7"/>
      <c r="O7" s="25">
        <f>IFERROR(((H7+I7/60)-(F7+G7/60))+((L7+M7/60)-(J7+K7/60)), "-")</f>
        <v>8.6999999999999993</v>
      </c>
      <c r="P7" s="26">
        <f t="shared" si="0"/>
        <v>7.9999999999999991</v>
      </c>
      <c r="Q7" s="27">
        <f>IFERROR(IF(P7-$B$4&gt;-7,P7-$B$4, "-"),0)</f>
        <v>0.99999999999999911</v>
      </c>
      <c r="R7" s="8"/>
      <c r="S7" s="13">
        <f>IFERROR(F7, "-")</f>
        <v>10</v>
      </c>
      <c r="T7" s="14">
        <f>IFERROR(G7, "-")</f>
        <v>43</v>
      </c>
      <c r="U7" s="13">
        <f>IFERROR(INT(S7+T7/60+O7),"-")</f>
        <v>19</v>
      </c>
      <c r="V7" s="14">
        <f>IFERROR((S7+T7/60+O7-INT(S7+T7/60+O7))*60,"-")</f>
        <v>24.999999999999858</v>
      </c>
    </row>
    <row r="8" spans="2:26" ht="13.5" thickBot="1" x14ac:dyDescent="0.25">
      <c r="D8" s="20">
        <v>44055</v>
      </c>
      <c r="E8" s="28"/>
      <c r="F8" s="13">
        <v>10</v>
      </c>
      <c r="G8" s="14">
        <v>9</v>
      </c>
      <c r="H8" s="13">
        <v>19</v>
      </c>
      <c r="I8" s="14">
        <v>5</v>
      </c>
      <c r="J8" s="13">
        <v>8</v>
      </c>
      <c r="K8" s="14">
        <v>55</v>
      </c>
      <c r="L8" s="13">
        <v>9</v>
      </c>
      <c r="M8" s="14">
        <v>10</v>
      </c>
      <c r="N8" s="8"/>
      <c r="O8" s="25">
        <f t="shared" ref="O8:O47" si="1">IFERROR(((H8+I8/60)-(F8+G8/60))+((L8+M8/60)-(J8+K8/60)), "-")</f>
        <v>9.1833333333333318</v>
      </c>
      <c r="P8" s="26">
        <f t="shared" si="0"/>
        <v>8.4833333333333325</v>
      </c>
      <c r="Q8" s="27">
        <f t="shared" ref="Q8:Q47" si="2">IFERROR(IF(P8-$B$4&gt;-7,P8-$B$4, "-"),0)</f>
        <v>1.4833333333333325</v>
      </c>
      <c r="R8" s="8"/>
      <c r="S8" s="13">
        <f t="shared" ref="S8:T47" si="3">IFERROR(F8, "-")</f>
        <v>10</v>
      </c>
      <c r="T8" s="14">
        <f t="shared" si="3"/>
        <v>9</v>
      </c>
      <c r="U8" s="13">
        <f t="shared" ref="U8:U47" si="4">IFERROR(INT(S8+T8/60+O8),"-")</f>
        <v>19</v>
      </c>
      <c r="V8" s="14">
        <f t="shared" ref="V8:V47" si="5">IFERROR((S8+T8/60+O8-INT(S8+T8/60+O8))*60,"-")</f>
        <v>19.999999999999929</v>
      </c>
      <c r="X8" s="32"/>
      <c r="Y8" s="32"/>
      <c r="Z8" s="32"/>
    </row>
    <row r="9" spans="2:26" ht="13.5" thickBot="1" x14ac:dyDescent="0.25">
      <c r="B9" s="4" t="s">
        <v>11</v>
      </c>
      <c r="D9" s="20">
        <v>44056</v>
      </c>
      <c r="E9" s="28"/>
      <c r="F9" s="13">
        <v>10</v>
      </c>
      <c r="G9" s="14">
        <v>47</v>
      </c>
      <c r="H9" s="13">
        <v>19</v>
      </c>
      <c r="I9" s="14">
        <v>5</v>
      </c>
      <c r="J9" s="13">
        <v>8</v>
      </c>
      <c r="K9" s="14">
        <v>55</v>
      </c>
      <c r="L9" s="13">
        <v>9</v>
      </c>
      <c r="M9" s="14">
        <v>15</v>
      </c>
      <c r="N9" s="8"/>
      <c r="O9" s="25">
        <f t="shared" si="1"/>
        <v>8.6333333333333329</v>
      </c>
      <c r="P9" s="26">
        <f t="shared" si="0"/>
        <v>7.9333333333333327</v>
      </c>
      <c r="Q9" s="27">
        <f t="shared" si="2"/>
        <v>0.93333333333333268</v>
      </c>
      <c r="R9" s="8"/>
      <c r="S9" s="13">
        <f t="shared" si="3"/>
        <v>10</v>
      </c>
      <c r="T9" s="14">
        <f t="shared" si="3"/>
        <v>47</v>
      </c>
      <c r="U9" s="13">
        <f t="shared" si="4"/>
        <v>19</v>
      </c>
      <c r="V9" s="14">
        <f t="shared" si="5"/>
        <v>24.999999999999858</v>
      </c>
    </row>
    <row r="10" spans="2:26" ht="13.5" thickBot="1" x14ac:dyDescent="0.25">
      <c r="B10" s="5">
        <f>SUM(O6:O47)</f>
        <v>137.19999999999999</v>
      </c>
      <c r="D10" s="20">
        <v>44057</v>
      </c>
      <c r="E10" s="30"/>
      <c r="F10" s="13">
        <v>10</v>
      </c>
      <c r="G10" s="14">
        <v>5</v>
      </c>
      <c r="H10" s="13">
        <v>13</v>
      </c>
      <c r="I10" s="14">
        <v>22</v>
      </c>
      <c r="J10" s="13">
        <v>8</v>
      </c>
      <c r="K10" s="14">
        <v>55</v>
      </c>
      <c r="L10" s="13">
        <v>9</v>
      </c>
      <c r="M10" s="14">
        <v>15</v>
      </c>
      <c r="O10" s="25">
        <f t="shared" si="1"/>
        <v>3.6166666666666671</v>
      </c>
      <c r="P10" s="26">
        <f t="shared" si="0"/>
        <v>2.916666666666667</v>
      </c>
      <c r="Q10" s="27">
        <f t="shared" si="2"/>
        <v>-4.083333333333333</v>
      </c>
      <c r="S10" s="13">
        <f t="shared" si="3"/>
        <v>10</v>
      </c>
      <c r="T10" s="14">
        <f t="shared" si="3"/>
        <v>5</v>
      </c>
      <c r="U10" s="13">
        <f t="shared" si="4"/>
        <v>13</v>
      </c>
      <c r="V10" s="14">
        <f t="shared" si="5"/>
        <v>42.000000000000064</v>
      </c>
    </row>
    <row r="11" spans="2:26" ht="13.5" thickBot="1" x14ac:dyDescent="0.25">
      <c r="D11" s="20">
        <v>44058</v>
      </c>
      <c r="E11" s="30"/>
      <c r="F11" s="22" t="s">
        <v>16</v>
      </c>
      <c r="G11" s="23" t="s">
        <v>16</v>
      </c>
      <c r="H11" s="22" t="s">
        <v>16</v>
      </c>
      <c r="I11" s="23" t="s">
        <v>16</v>
      </c>
      <c r="J11" s="22" t="s">
        <v>16</v>
      </c>
      <c r="K11" s="23" t="s">
        <v>16</v>
      </c>
      <c r="L11" s="22" t="s">
        <v>16</v>
      </c>
      <c r="M11" s="23" t="s">
        <v>16</v>
      </c>
      <c r="O11" s="25" t="str">
        <f t="shared" si="1"/>
        <v>-</v>
      </c>
      <c r="P11" s="26">
        <f t="shared" si="0"/>
        <v>0</v>
      </c>
      <c r="Q11" s="27" t="str">
        <f t="shared" si="2"/>
        <v>-</v>
      </c>
      <c r="S11" s="13" t="str">
        <f t="shared" si="3"/>
        <v>-</v>
      </c>
      <c r="T11" s="14" t="str">
        <f t="shared" si="3"/>
        <v>-</v>
      </c>
      <c r="U11" s="13" t="str">
        <f t="shared" si="4"/>
        <v>-</v>
      </c>
      <c r="V11" s="14" t="str">
        <f t="shared" si="5"/>
        <v>-</v>
      </c>
    </row>
    <row r="12" spans="2:26" ht="13.5" thickBot="1" x14ac:dyDescent="0.25">
      <c r="B12" s="4" t="s">
        <v>12</v>
      </c>
      <c r="D12" s="20">
        <v>44059</v>
      </c>
      <c r="E12" s="30"/>
      <c r="F12" s="22" t="s">
        <v>16</v>
      </c>
      <c r="G12" s="23" t="s">
        <v>16</v>
      </c>
      <c r="H12" s="22" t="s">
        <v>16</v>
      </c>
      <c r="I12" s="23" t="s">
        <v>16</v>
      </c>
      <c r="J12" s="22" t="s">
        <v>16</v>
      </c>
      <c r="K12" s="23" t="s">
        <v>16</v>
      </c>
      <c r="L12" s="22" t="s">
        <v>16</v>
      </c>
      <c r="M12" s="23" t="s">
        <v>16</v>
      </c>
      <c r="O12" s="25" t="str">
        <f t="shared" si="1"/>
        <v>-</v>
      </c>
      <c r="P12" s="26">
        <f t="shared" si="0"/>
        <v>0</v>
      </c>
      <c r="Q12" s="27" t="str">
        <f t="shared" si="2"/>
        <v>-</v>
      </c>
      <c r="S12" s="13" t="str">
        <f t="shared" si="3"/>
        <v>-</v>
      </c>
      <c r="T12" s="14" t="str">
        <f t="shared" si="3"/>
        <v>-</v>
      </c>
      <c r="U12" s="13" t="str">
        <f t="shared" si="4"/>
        <v>-</v>
      </c>
      <c r="V12" s="14" t="str">
        <f t="shared" si="5"/>
        <v>-</v>
      </c>
    </row>
    <row r="13" spans="2:26" ht="13.5" thickBot="1" x14ac:dyDescent="0.25">
      <c r="B13" s="5">
        <f>SUM(Q6:Q47)</f>
        <v>14</v>
      </c>
      <c r="D13" s="20">
        <v>44060</v>
      </c>
      <c r="E13" s="30"/>
      <c r="F13" s="22">
        <v>10</v>
      </c>
      <c r="G13" s="23">
        <v>5</v>
      </c>
      <c r="H13" s="22">
        <v>19</v>
      </c>
      <c r="I13" s="23">
        <v>5</v>
      </c>
      <c r="J13" s="22">
        <v>8</v>
      </c>
      <c r="K13" s="23">
        <v>55</v>
      </c>
      <c r="L13" s="22">
        <v>9</v>
      </c>
      <c r="M13" s="24">
        <v>15</v>
      </c>
      <c r="O13" s="25">
        <f t="shared" si="1"/>
        <v>9.3333333333333321</v>
      </c>
      <c r="P13" s="26">
        <f t="shared" si="0"/>
        <v>8.6333333333333329</v>
      </c>
      <c r="Q13" s="27">
        <f t="shared" si="2"/>
        <v>1.6333333333333329</v>
      </c>
      <c r="S13" s="13">
        <f t="shared" si="3"/>
        <v>10</v>
      </c>
      <c r="T13" s="14">
        <f t="shared" si="3"/>
        <v>5</v>
      </c>
      <c r="U13" s="13">
        <f t="shared" si="4"/>
        <v>19</v>
      </c>
      <c r="V13" s="14">
        <f t="shared" si="5"/>
        <v>24.999999999999858</v>
      </c>
    </row>
    <row r="14" spans="2:26" x14ac:dyDescent="0.2">
      <c r="D14" s="20">
        <v>44061</v>
      </c>
      <c r="E14" s="30"/>
      <c r="F14" s="22">
        <v>10</v>
      </c>
      <c r="G14" s="23">
        <v>9</v>
      </c>
      <c r="H14" s="22">
        <v>19</v>
      </c>
      <c r="I14" s="23">
        <v>5</v>
      </c>
      <c r="J14" s="22">
        <v>8</v>
      </c>
      <c r="K14" s="23">
        <v>40</v>
      </c>
      <c r="L14" s="22">
        <v>9</v>
      </c>
      <c r="M14" s="24">
        <v>15</v>
      </c>
      <c r="O14" s="25">
        <f t="shared" si="1"/>
        <v>9.5166666666666657</v>
      </c>
      <c r="P14" s="26">
        <f t="shared" si="0"/>
        <v>8.8166666666666664</v>
      </c>
      <c r="Q14" s="27">
        <f t="shared" si="2"/>
        <v>1.8166666666666664</v>
      </c>
      <c r="S14" s="13">
        <f t="shared" si="3"/>
        <v>10</v>
      </c>
      <c r="T14" s="14">
        <f t="shared" si="3"/>
        <v>9</v>
      </c>
      <c r="U14" s="13">
        <f t="shared" si="4"/>
        <v>19</v>
      </c>
      <c r="V14" s="14">
        <f t="shared" si="5"/>
        <v>39.999999999999858</v>
      </c>
    </row>
    <row r="15" spans="2:26" x14ac:dyDescent="0.2">
      <c r="D15" s="20">
        <v>44062</v>
      </c>
      <c r="E15" s="30"/>
      <c r="F15" s="22">
        <v>9</v>
      </c>
      <c r="G15" s="23">
        <v>5</v>
      </c>
      <c r="H15" s="22">
        <v>18</v>
      </c>
      <c r="I15" s="23">
        <v>47</v>
      </c>
      <c r="J15" s="22">
        <v>0</v>
      </c>
      <c r="K15" s="23">
        <v>0</v>
      </c>
      <c r="L15" s="22">
        <v>0</v>
      </c>
      <c r="M15" s="24">
        <v>0</v>
      </c>
      <c r="O15" s="25">
        <f t="shared" si="1"/>
        <v>9.7000000000000011</v>
      </c>
      <c r="P15" s="26">
        <f t="shared" si="0"/>
        <v>9.0000000000000018</v>
      </c>
      <c r="Q15" s="27">
        <f t="shared" si="2"/>
        <v>2.0000000000000018</v>
      </c>
      <c r="S15" s="13">
        <f t="shared" si="3"/>
        <v>9</v>
      </c>
      <c r="T15" s="14">
        <f t="shared" si="3"/>
        <v>5</v>
      </c>
      <c r="U15" s="13">
        <f t="shared" si="4"/>
        <v>18</v>
      </c>
      <c r="V15" s="14">
        <f t="shared" si="5"/>
        <v>47.000000000000099</v>
      </c>
    </row>
    <row r="16" spans="2:26" x14ac:dyDescent="0.2">
      <c r="D16" s="20">
        <v>44063</v>
      </c>
      <c r="E16" s="30"/>
      <c r="F16" s="22">
        <v>10</v>
      </c>
      <c r="G16" s="23">
        <v>30</v>
      </c>
      <c r="H16" s="22">
        <v>18</v>
      </c>
      <c r="I16" s="23">
        <v>30</v>
      </c>
      <c r="J16" s="22">
        <v>8</v>
      </c>
      <c r="K16" s="23">
        <v>50</v>
      </c>
      <c r="L16" s="22">
        <v>9</v>
      </c>
      <c r="M16" s="24">
        <v>33</v>
      </c>
      <c r="O16" s="25">
        <f t="shared" si="1"/>
        <v>8.7166666666666668</v>
      </c>
      <c r="P16" s="26">
        <f>IFERROR(IF(O16-$B$7&gt;0,O16-$B$7, 0),0)</f>
        <v>8.0166666666666675</v>
      </c>
      <c r="Q16" s="27">
        <f t="shared" si="2"/>
        <v>1.0166666666666675</v>
      </c>
      <c r="S16" s="13">
        <f t="shared" si="3"/>
        <v>10</v>
      </c>
      <c r="T16" s="14">
        <f t="shared" si="3"/>
        <v>30</v>
      </c>
      <c r="U16" s="13">
        <f t="shared" si="4"/>
        <v>19</v>
      </c>
      <c r="V16" s="14">
        <f t="shared" si="5"/>
        <v>13.000000000000114</v>
      </c>
    </row>
    <row r="17" spans="4:25" x14ac:dyDescent="0.2">
      <c r="D17" s="20">
        <v>44064</v>
      </c>
      <c r="E17" s="30"/>
      <c r="F17" s="22">
        <v>10</v>
      </c>
      <c r="G17" s="23">
        <v>42</v>
      </c>
      <c r="H17" s="22">
        <v>18</v>
      </c>
      <c r="I17" s="23">
        <v>34</v>
      </c>
      <c r="J17" s="22">
        <v>8</v>
      </c>
      <c r="K17" s="23">
        <v>55</v>
      </c>
      <c r="L17" s="22">
        <v>9</v>
      </c>
      <c r="M17" s="23">
        <v>15</v>
      </c>
      <c r="N17" s="1"/>
      <c r="O17" s="25">
        <f t="shared" si="1"/>
        <v>8.2000000000000011</v>
      </c>
      <c r="P17" s="26">
        <f t="shared" ref="P17:P47" si="6">IFERROR(IF(O17-$B$7&gt;0,O17-$B$7, 0),0)</f>
        <v>7.5000000000000009</v>
      </c>
      <c r="Q17" s="27">
        <f t="shared" si="2"/>
        <v>0.50000000000000089</v>
      </c>
      <c r="R17" s="1"/>
      <c r="S17" s="13">
        <f t="shared" si="3"/>
        <v>10</v>
      </c>
      <c r="T17" s="14">
        <f t="shared" si="3"/>
        <v>42</v>
      </c>
      <c r="U17" s="13">
        <f t="shared" si="4"/>
        <v>18</v>
      </c>
      <c r="V17" s="14">
        <f t="shared" si="5"/>
        <v>53.999999999999915</v>
      </c>
    </row>
    <row r="18" spans="4:25" x14ac:dyDescent="0.2">
      <c r="D18" s="20">
        <v>44065</v>
      </c>
      <c r="E18" s="30"/>
      <c r="F18" s="22" t="s">
        <v>16</v>
      </c>
      <c r="G18" s="23" t="s">
        <v>16</v>
      </c>
      <c r="H18" s="22" t="s">
        <v>16</v>
      </c>
      <c r="I18" s="23" t="s">
        <v>16</v>
      </c>
      <c r="J18" s="22" t="s">
        <v>16</v>
      </c>
      <c r="K18" s="23" t="s">
        <v>16</v>
      </c>
      <c r="L18" s="22" t="s">
        <v>16</v>
      </c>
      <c r="M18" s="23" t="s">
        <v>16</v>
      </c>
      <c r="N18" s="1"/>
      <c r="O18" s="25" t="str">
        <f t="shared" si="1"/>
        <v>-</v>
      </c>
      <c r="P18" s="26">
        <f t="shared" si="6"/>
        <v>0</v>
      </c>
      <c r="Q18" s="27" t="str">
        <f t="shared" si="2"/>
        <v>-</v>
      </c>
      <c r="R18" s="1"/>
      <c r="S18" s="13" t="str">
        <f t="shared" si="3"/>
        <v>-</v>
      </c>
      <c r="T18" s="14" t="str">
        <f t="shared" si="3"/>
        <v>-</v>
      </c>
      <c r="U18" s="13" t="str">
        <f t="shared" si="4"/>
        <v>-</v>
      </c>
      <c r="V18" s="14" t="str">
        <f t="shared" si="5"/>
        <v>-</v>
      </c>
    </row>
    <row r="19" spans="4:25" x14ac:dyDescent="0.2">
      <c r="D19" s="20">
        <v>44066</v>
      </c>
      <c r="E19" s="30"/>
      <c r="F19" s="22" t="s">
        <v>16</v>
      </c>
      <c r="G19" s="23" t="s">
        <v>16</v>
      </c>
      <c r="H19" s="22" t="s">
        <v>16</v>
      </c>
      <c r="I19" s="23" t="s">
        <v>16</v>
      </c>
      <c r="J19" s="22" t="s">
        <v>16</v>
      </c>
      <c r="K19" s="23" t="s">
        <v>16</v>
      </c>
      <c r="L19" s="22" t="s">
        <v>16</v>
      </c>
      <c r="M19" s="23" t="s">
        <v>16</v>
      </c>
      <c r="N19" s="1"/>
      <c r="O19" s="25" t="str">
        <f t="shared" si="1"/>
        <v>-</v>
      </c>
      <c r="P19" s="26">
        <f t="shared" si="6"/>
        <v>0</v>
      </c>
      <c r="Q19" s="27" t="str">
        <f t="shared" si="2"/>
        <v>-</v>
      </c>
      <c r="R19" s="1"/>
      <c r="S19" s="13" t="str">
        <f t="shared" si="3"/>
        <v>-</v>
      </c>
      <c r="T19" s="14" t="str">
        <f t="shared" si="3"/>
        <v>-</v>
      </c>
      <c r="U19" s="13" t="str">
        <f t="shared" si="4"/>
        <v>-</v>
      </c>
      <c r="V19" s="14" t="str">
        <f t="shared" si="5"/>
        <v>-</v>
      </c>
    </row>
    <row r="20" spans="4:25" x14ac:dyDescent="0.2">
      <c r="D20" s="20">
        <v>44067</v>
      </c>
      <c r="E20" s="30"/>
      <c r="F20" s="22">
        <v>11</v>
      </c>
      <c r="G20" s="23">
        <v>21</v>
      </c>
      <c r="H20" s="22">
        <v>19</v>
      </c>
      <c r="I20" s="23">
        <v>5</v>
      </c>
      <c r="J20" s="22">
        <v>0</v>
      </c>
      <c r="K20" s="23">
        <v>0</v>
      </c>
      <c r="L20" s="22">
        <v>0</v>
      </c>
      <c r="M20" s="23">
        <v>0</v>
      </c>
      <c r="N20" s="1"/>
      <c r="O20" s="25">
        <f t="shared" si="1"/>
        <v>7.7333333333333325</v>
      </c>
      <c r="P20" s="26">
        <f t="shared" si="6"/>
        <v>7.0333333333333323</v>
      </c>
      <c r="Q20" s="27">
        <f t="shared" si="2"/>
        <v>3.3333333333332327E-2</v>
      </c>
      <c r="R20" s="1"/>
      <c r="S20" s="13">
        <f t="shared" si="3"/>
        <v>11</v>
      </c>
      <c r="T20" s="14">
        <f t="shared" si="3"/>
        <v>21</v>
      </c>
      <c r="U20" s="13">
        <f t="shared" si="4"/>
        <v>19</v>
      </c>
      <c r="V20" s="14">
        <f t="shared" si="5"/>
        <v>4.9999999999999289</v>
      </c>
    </row>
    <row r="21" spans="4:25" x14ac:dyDescent="0.2">
      <c r="D21" s="20">
        <v>44068</v>
      </c>
      <c r="E21" s="30"/>
      <c r="F21" s="22">
        <v>10</v>
      </c>
      <c r="G21" s="23">
        <v>29</v>
      </c>
      <c r="H21" s="22">
        <v>19</v>
      </c>
      <c r="I21" s="23">
        <v>9</v>
      </c>
      <c r="J21" s="22">
        <v>8</v>
      </c>
      <c r="K21" s="23">
        <v>55</v>
      </c>
      <c r="L21" s="22">
        <v>9</v>
      </c>
      <c r="M21" s="23">
        <v>20</v>
      </c>
      <c r="N21" s="1"/>
      <c r="O21" s="25">
        <f t="shared" si="1"/>
        <v>9.0833333333333339</v>
      </c>
      <c r="P21" s="26">
        <f t="shared" si="6"/>
        <v>8.3833333333333346</v>
      </c>
      <c r="Q21" s="27">
        <f t="shared" si="2"/>
        <v>1.3833333333333346</v>
      </c>
      <c r="R21" s="1"/>
      <c r="S21" s="13">
        <f t="shared" si="3"/>
        <v>10</v>
      </c>
      <c r="T21" s="14">
        <f t="shared" si="3"/>
        <v>29</v>
      </c>
      <c r="U21" s="13">
        <f t="shared" si="4"/>
        <v>19</v>
      </c>
      <c r="V21" s="14">
        <f t="shared" si="5"/>
        <v>33.999999999999986</v>
      </c>
    </row>
    <row r="22" spans="4:25" ht="13.5" thickBot="1" x14ac:dyDescent="0.25">
      <c r="D22" s="20">
        <v>44069</v>
      </c>
      <c r="E22" s="30"/>
      <c r="F22" s="22">
        <v>10</v>
      </c>
      <c r="G22" s="23">
        <v>20</v>
      </c>
      <c r="H22" s="22">
        <v>19</v>
      </c>
      <c r="I22" s="23">
        <v>5</v>
      </c>
      <c r="J22" s="22">
        <v>9</v>
      </c>
      <c r="K22" s="23">
        <v>0</v>
      </c>
      <c r="L22" s="22">
        <v>9</v>
      </c>
      <c r="M22" s="23">
        <v>15</v>
      </c>
      <c r="N22" s="1"/>
      <c r="O22" s="25">
        <f t="shared" si="1"/>
        <v>8.9999999999999982</v>
      </c>
      <c r="P22" s="26">
        <f t="shared" si="6"/>
        <v>8.2999999999999989</v>
      </c>
      <c r="Q22" s="27">
        <f t="shared" si="2"/>
        <v>1.2999999999999989</v>
      </c>
      <c r="R22" s="1"/>
      <c r="S22" s="13">
        <f t="shared" si="3"/>
        <v>10</v>
      </c>
      <c r="T22" s="14">
        <f t="shared" si="3"/>
        <v>20</v>
      </c>
      <c r="U22" s="13">
        <f t="shared" si="4"/>
        <v>19</v>
      </c>
      <c r="V22" s="14">
        <f t="shared" si="5"/>
        <v>19.999999999999929</v>
      </c>
    </row>
    <row r="23" spans="4:25" ht="13.5" thickBot="1" x14ac:dyDescent="0.25">
      <c r="D23" s="20">
        <v>44070</v>
      </c>
      <c r="E23" s="30"/>
      <c r="F23" s="22">
        <v>10</v>
      </c>
      <c r="G23" s="23">
        <v>42</v>
      </c>
      <c r="H23" s="22">
        <v>19</v>
      </c>
      <c r="I23" s="23">
        <v>5</v>
      </c>
      <c r="J23" s="22">
        <v>9</v>
      </c>
      <c r="K23" s="23">
        <v>0</v>
      </c>
      <c r="L23" s="22">
        <v>9</v>
      </c>
      <c r="M23" s="24">
        <v>13</v>
      </c>
      <c r="N23" s="1"/>
      <c r="O23" s="25">
        <f t="shared" si="1"/>
        <v>8.6</v>
      </c>
      <c r="P23" s="26">
        <f t="shared" si="6"/>
        <v>7.8999999999999995</v>
      </c>
      <c r="Q23" s="27">
        <f t="shared" si="2"/>
        <v>0.89999999999999947</v>
      </c>
      <c r="R23" s="1"/>
      <c r="S23" s="13">
        <f t="shared" si="3"/>
        <v>10</v>
      </c>
      <c r="T23" s="14">
        <f t="shared" si="3"/>
        <v>42</v>
      </c>
      <c r="U23" s="13">
        <f t="shared" si="4"/>
        <v>19</v>
      </c>
      <c r="V23" s="14">
        <f t="shared" si="5"/>
        <v>17.999999999999829</v>
      </c>
      <c r="Y23" s="31"/>
    </row>
    <row r="24" spans="4:25" ht="13.5" thickBot="1" x14ac:dyDescent="0.25">
      <c r="D24" s="20">
        <v>44071</v>
      </c>
      <c r="E24" s="30"/>
      <c r="F24" s="22">
        <v>8</v>
      </c>
      <c r="G24" s="23">
        <v>45</v>
      </c>
      <c r="H24" s="22">
        <v>19</v>
      </c>
      <c r="I24" s="23">
        <v>8</v>
      </c>
      <c r="J24" s="22">
        <v>0</v>
      </c>
      <c r="K24" s="23">
        <v>0</v>
      </c>
      <c r="L24" s="22">
        <v>0</v>
      </c>
      <c r="M24" s="23">
        <v>0</v>
      </c>
      <c r="N24" s="1"/>
      <c r="O24" s="25">
        <f t="shared" si="1"/>
        <v>10.383333333333333</v>
      </c>
      <c r="P24" s="26">
        <f t="shared" si="6"/>
        <v>9.6833333333333336</v>
      </c>
      <c r="Q24" s="27">
        <f t="shared" si="2"/>
        <v>2.6833333333333336</v>
      </c>
      <c r="R24" s="1"/>
      <c r="S24" s="13">
        <f t="shared" si="3"/>
        <v>8</v>
      </c>
      <c r="T24" s="14">
        <f t="shared" si="3"/>
        <v>45</v>
      </c>
      <c r="U24" s="13">
        <f t="shared" si="4"/>
        <v>19</v>
      </c>
      <c r="V24" s="14">
        <f t="shared" si="5"/>
        <v>7.9999999999999716</v>
      </c>
    </row>
    <row r="25" spans="4:25" ht="13.5" thickBot="1" x14ac:dyDescent="0.25">
      <c r="D25" s="20">
        <v>44072</v>
      </c>
      <c r="E25" s="30"/>
      <c r="F25" s="22" t="s">
        <v>16</v>
      </c>
      <c r="G25" s="23" t="s">
        <v>16</v>
      </c>
      <c r="H25" s="22" t="s">
        <v>16</v>
      </c>
      <c r="I25" s="23" t="s">
        <v>16</v>
      </c>
      <c r="J25" s="22" t="s">
        <v>16</v>
      </c>
      <c r="K25" s="23" t="s">
        <v>16</v>
      </c>
      <c r="L25" s="22" t="s">
        <v>16</v>
      </c>
      <c r="M25" s="23" t="s">
        <v>16</v>
      </c>
      <c r="N25" s="1"/>
      <c r="O25" s="25" t="str">
        <f t="shared" si="1"/>
        <v>-</v>
      </c>
      <c r="P25" s="26">
        <f t="shared" si="6"/>
        <v>0</v>
      </c>
      <c r="Q25" s="27" t="str">
        <f t="shared" si="2"/>
        <v>-</v>
      </c>
      <c r="R25" s="1"/>
      <c r="S25" s="13" t="str">
        <f t="shared" si="3"/>
        <v>-</v>
      </c>
      <c r="T25" s="14" t="str">
        <f t="shared" si="3"/>
        <v>-</v>
      </c>
      <c r="U25" s="13" t="str">
        <f t="shared" si="4"/>
        <v>-</v>
      </c>
      <c r="V25" s="14" t="str">
        <f t="shared" si="5"/>
        <v>-</v>
      </c>
      <c r="X25" s="31"/>
    </row>
    <row r="26" spans="4:25" x14ac:dyDescent="0.2">
      <c r="D26" s="20">
        <v>44073</v>
      </c>
      <c r="E26" s="30"/>
      <c r="F26" s="22" t="s">
        <v>16</v>
      </c>
      <c r="G26" s="23" t="s">
        <v>16</v>
      </c>
      <c r="H26" s="22" t="s">
        <v>16</v>
      </c>
      <c r="I26" s="23" t="s">
        <v>16</v>
      </c>
      <c r="J26" s="22" t="s">
        <v>16</v>
      </c>
      <c r="K26" s="23" t="s">
        <v>16</v>
      </c>
      <c r="L26" s="22" t="s">
        <v>16</v>
      </c>
      <c r="M26" s="23" t="s">
        <v>16</v>
      </c>
      <c r="N26" s="1"/>
      <c r="O26" s="25" t="str">
        <f t="shared" si="1"/>
        <v>-</v>
      </c>
      <c r="P26" s="26">
        <f t="shared" si="6"/>
        <v>0</v>
      </c>
      <c r="Q26" s="27" t="str">
        <f t="shared" si="2"/>
        <v>-</v>
      </c>
      <c r="R26" s="1"/>
      <c r="S26" s="13" t="str">
        <f t="shared" si="3"/>
        <v>-</v>
      </c>
      <c r="T26" s="14" t="str">
        <f t="shared" si="3"/>
        <v>-</v>
      </c>
      <c r="U26" s="13" t="str">
        <f t="shared" si="4"/>
        <v>-</v>
      </c>
      <c r="V26" s="14" t="str">
        <f t="shared" si="5"/>
        <v>-</v>
      </c>
    </row>
    <row r="27" spans="4:25" x14ac:dyDescent="0.2">
      <c r="D27" s="20">
        <v>44074</v>
      </c>
      <c r="E27" s="30"/>
      <c r="F27" s="22">
        <v>10</v>
      </c>
      <c r="G27" s="23">
        <v>19</v>
      </c>
      <c r="H27" s="22">
        <v>19</v>
      </c>
      <c r="I27" s="23">
        <v>7</v>
      </c>
      <c r="J27" s="22">
        <v>0</v>
      </c>
      <c r="K27" s="23">
        <v>0</v>
      </c>
      <c r="L27" s="22">
        <v>0</v>
      </c>
      <c r="M27" s="23">
        <v>0</v>
      </c>
      <c r="N27" s="1"/>
      <c r="O27" s="25">
        <f t="shared" si="1"/>
        <v>8.8000000000000007</v>
      </c>
      <c r="P27" s="26">
        <f t="shared" si="6"/>
        <v>8.1000000000000014</v>
      </c>
      <c r="Q27" s="27">
        <f t="shared" si="2"/>
        <v>1.1000000000000014</v>
      </c>
      <c r="R27" s="1"/>
      <c r="S27" s="13">
        <f t="shared" si="3"/>
        <v>10</v>
      </c>
      <c r="T27" s="14">
        <f t="shared" si="3"/>
        <v>19</v>
      </c>
      <c r="U27" s="13">
        <f t="shared" si="4"/>
        <v>19</v>
      </c>
      <c r="V27" s="14">
        <f t="shared" si="5"/>
        <v>7.0000000000000284</v>
      </c>
    </row>
    <row r="28" spans="4:25" x14ac:dyDescent="0.2">
      <c r="D28" s="21"/>
      <c r="E28" s="30"/>
      <c r="F28" s="22"/>
      <c r="G28" s="23"/>
      <c r="H28" s="22"/>
      <c r="I28" s="23"/>
      <c r="J28" s="22"/>
      <c r="K28" s="23"/>
      <c r="L28" s="22"/>
      <c r="M28" s="23"/>
      <c r="N28" s="1"/>
      <c r="O28" s="25">
        <f t="shared" si="1"/>
        <v>0</v>
      </c>
      <c r="P28" s="26">
        <f t="shared" si="6"/>
        <v>0</v>
      </c>
      <c r="Q28" s="27" t="str">
        <f t="shared" si="2"/>
        <v>-</v>
      </c>
      <c r="R28" s="1"/>
      <c r="S28" s="13">
        <f t="shared" si="3"/>
        <v>0</v>
      </c>
      <c r="T28" s="14">
        <f t="shared" si="3"/>
        <v>0</v>
      </c>
      <c r="U28" s="13">
        <f t="shared" si="4"/>
        <v>0</v>
      </c>
      <c r="V28" s="14">
        <f t="shared" si="5"/>
        <v>0</v>
      </c>
    </row>
    <row r="29" spans="4:25" x14ac:dyDescent="0.2">
      <c r="D29" s="21"/>
      <c r="E29" s="30"/>
      <c r="F29" s="22"/>
      <c r="G29" s="23"/>
      <c r="H29" s="22"/>
      <c r="I29" s="23"/>
      <c r="J29" s="22"/>
      <c r="K29" s="23"/>
      <c r="L29" s="22"/>
      <c r="M29" s="23"/>
      <c r="N29" s="1"/>
      <c r="O29" s="25">
        <f t="shared" si="1"/>
        <v>0</v>
      </c>
      <c r="P29" s="26">
        <f t="shared" si="6"/>
        <v>0</v>
      </c>
      <c r="Q29" s="27" t="str">
        <f t="shared" si="2"/>
        <v>-</v>
      </c>
      <c r="R29" s="1"/>
      <c r="S29" s="13">
        <f t="shared" si="3"/>
        <v>0</v>
      </c>
      <c r="T29" s="14">
        <f t="shared" si="3"/>
        <v>0</v>
      </c>
      <c r="U29" s="13">
        <f t="shared" si="4"/>
        <v>0</v>
      </c>
      <c r="V29" s="14">
        <f t="shared" si="5"/>
        <v>0</v>
      </c>
    </row>
    <row r="30" spans="4:25" x14ac:dyDescent="0.2">
      <c r="D30" s="21"/>
      <c r="E30" s="30"/>
      <c r="F30" s="22"/>
      <c r="G30" s="23"/>
      <c r="H30" s="22"/>
      <c r="I30" s="23"/>
      <c r="J30" s="22"/>
      <c r="K30" s="23"/>
      <c r="L30" s="22"/>
      <c r="M30" s="23"/>
      <c r="N30" s="1"/>
      <c r="O30" s="25">
        <f t="shared" si="1"/>
        <v>0</v>
      </c>
      <c r="P30" s="26">
        <f t="shared" si="6"/>
        <v>0</v>
      </c>
      <c r="Q30" s="27" t="str">
        <f t="shared" si="2"/>
        <v>-</v>
      </c>
      <c r="R30" s="1"/>
      <c r="S30" s="13">
        <f t="shared" si="3"/>
        <v>0</v>
      </c>
      <c r="T30" s="14">
        <f t="shared" si="3"/>
        <v>0</v>
      </c>
      <c r="U30" s="13">
        <f t="shared" si="4"/>
        <v>0</v>
      </c>
      <c r="V30" s="14">
        <f t="shared" si="5"/>
        <v>0</v>
      </c>
    </row>
    <row r="31" spans="4:25" x14ac:dyDescent="0.2">
      <c r="D31" s="21"/>
      <c r="E31" s="30"/>
      <c r="F31" s="22"/>
      <c r="G31" s="23"/>
      <c r="H31" s="22"/>
      <c r="I31" s="23"/>
      <c r="J31" s="22"/>
      <c r="K31" s="23"/>
      <c r="L31" s="22"/>
      <c r="M31" s="23"/>
      <c r="N31" s="1"/>
      <c r="O31" s="25">
        <f t="shared" si="1"/>
        <v>0</v>
      </c>
      <c r="P31" s="26">
        <f t="shared" si="6"/>
        <v>0</v>
      </c>
      <c r="Q31" s="27" t="str">
        <f t="shared" si="2"/>
        <v>-</v>
      </c>
      <c r="R31" s="1"/>
      <c r="S31" s="13">
        <f t="shared" si="3"/>
        <v>0</v>
      </c>
      <c r="T31" s="14">
        <f t="shared" si="3"/>
        <v>0</v>
      </c>
      <c r="U31" s="13">
        <f t="shared" si="4"/>
        <v>0</v>
      </c>
      <c r="V31" s="14">
        <f t="shared" si="5"/>
        <v>0</v>
      </c>
    </row>
    <row r="32" spans="4:25" x14ac:dyDescent="0.2">
      <c r="D32" s="21"/>
      <c r="E32" s="30"/>
      <c r="F32" s="22"/>
      <c r="G32" s="23"/>
      <c r="H32" s="22"/>
      <c r="I32" s="23"/>
      <c r="J32" s="22"/>
      <c r="K32" s="23"/>
      <c r="L32" s="22"/>
      <c r="M32" s="23"/>
      <c r="N32" s="1"/>
      <c r="O32" s="25">
        <f t="shared" si="1"/>
        <v>0</v>
      </c>
      <c r="P32" s="26">
        <f t="shared" si="6"/>
        <v>0</v>
      </c>
      <c r="Q32" s="27" t="str">
        <f t="shared" si="2"/>
        <v>-</v>
      </c>
      <c r="R32" s="1"/>
      <c r="S32" s="13">
        <f t="shared" si="3"/>
        <v>0</v>
      </c>
      <c r="T32" s="14">
        <f t="shared" si="3"/>
        <v>0</v>
      </c>
      <c r="U32" s="13">
        <f t="shared" si="4"/>
        <v>0</v>
      </c>
      <c r="V32" s="14">
        <f t="shared" si="5"/>
        <v>0</v>
      </c>
    </row>
    <row r="33" spans="4:22" x14ac:dyDescent="0.2">
      <c r="D33" s="21"/>
      <c r="E33" s="30"/>
      <c r="F33" s="22"/>
      <c r="G33" s="23"/>
      <c r="H33" s="22"/>
      <c r="I33" s="23"/>
      <c r="J33" s="22"/>
      <c r="K33" s="23"/>
      <c r="L33" s="22"/>
      <c r="M33" s="23"/>
      <c r="N33" s="1"/>
      <c r="O33" s="25">
        <f t="shared" si="1"/>
        <v>0</v>
      </c>
      <c r="P33" s="26">
        <f t="shared" si="6"/>
        <v>0</v>
      </c>
      <c r="Q33" s="27" t="str">
        <f t="shared" si="2"/>
        <v>-</v>
      </c>
      <c r="R33" s="1"/>
      <c r="S33" s="13">
        <f t="shared" si="3"/>
        <v>0</v>
      </c>
      <c r="T33" s="14">
        <f t="shared" si="3"/>
        <v>0</v>
      </c>
      <c r="U33" s="13">
        <f t="shared" si="4"/>
        <v>0</v>
      </c>
      <c r="V33" s="14">
        <f t="shared" si="5"/>
        <v>0</v>
      </c>
    </row>
    <row r="34" spans="4:22" x14ac:dyDescent="0.2">
      <c r="D34" s="21"/>
      <c r="E34" s="30"/>
      <c r="F34" s="22"/>
      <c r="G34" s="23"/>
      <c r="H34" s="22"/>
      <c r="I34" s="23"/>
      <c r="J34" s="22"/>
      <c r="K34" s="23"/>
      <c r="L34" s="22"/>
      <c r="M34" s="23"/>
      <c r="N34" s="1"/>
      <c r="O34" s="25">
        <f t="shared" si="1"/>
        <v>0</v>
      </c>
      <c r="P34" s="26">
        <f t="shared" si="6"/>
        <v>0</v>
      </c>
      <c r="Q34" s="27" t="str">
        <f t="shared" si="2"/>
        <v>-</v>
      </c>
      <c r="R34" s="1"/>
      <c r="S34" s="13">
        <f t="shared" si="3"/>
        <v>0</v>
      </c>
      <c r="T34" s="14">
        <f t="shared" si="3"/>
        <v>0</v>
      </c>
      <c r="U34" s="13">
        <f t="shared" si="4"/>
        <v>0</v>
      </c>
      <c r="V34" s="14">
        <f t="shared" si="5"/>
        <v>0</v>
      </c>
    </row>
    <row r="35" spans="4:22" x14ac:dyDescent="0.2">
      <c r="D35" s="21"/>
      <c r="E35" s="30"/>
      <c r="F35" s="22"/>
      <c r="G35" s="23"/>
      <c r="H35" s="22"/>
      <c r="I35" s="23"/>
      <c r="J35" s="22"/>
      <c r="K35" s="23"/>
      <c r="L35" s="22"/>
      <c r="M35" s="23"/>
      <c r="N35" s="1"/>
      <c r="O35" s="25">
        <f t="shared" si="1"/>
        <v>0</v>
      </c>
      <c r="P35" s="26">
        <f t="shared" si="6"/>
        <v>0</v>
      </c>
      <c r="Q35" s="27" t="str">
        <f t="shared" si="2"/>
        <v>-</v>
      </c>
      <c r="R35" s="1"/>
      <c r="S35" s="13">
        <f t="shared" si="3"/>
        <v>0</v>
      </c>
      <c r="T35" s="14">
        <f t="shared" si="3"/>
        <v>0</v>
      </c>
      <c r="U35" s="13">
        <f t="shared" si="4"/>
        <v>0</v>
      </c>
      <c r="V35" s="14">
        <f t="shared" si="5"/>
        <v>0</v>
      </c>
    </row>
    <row r="36" spans="4:22" x14ac:dyDescent="0.2">
      <c r="D36" s="21"/>
      <c r="E36" s="30"/>
      <c r="F36" s="22"/>
      <c r="G36" s="23"/>
      <c r="H36" s="22"/>
      <c r="I36" s="23"/>
      <c r="J36" s="22"/>
      <c r="K36" s="23"/>
      <c r="L36" s="22"/>
      <c r="M36" s="23"/>
      <c r="N36" s="1"/>
      <c r="O36" s="25">
        <f t="shared" si="1"/>
        <v>0</v>
      </c>
      <c r="P36" s="26">
        <f t="shared" si="6"/>
        <v>0</v>
      </c>
      <c r="Q36" s="27" t="str">
        <f t="shared" si="2"/>
        <v>-</v>
      </c>
      <c r="R36" s="1"/>
      <c r="S36" s="13">
        <f t="shared" si="3"/>
        <v>0</v>
      </c>
      <c r="T36" s="14">
        <f t="shared" si="3"/>
        <v>0</v>
      </c>
      <c r="U36" s="13">
        <f t="shared" si="4"/>
        <v>0</v>
      </c>
      <c r="V36" s="14">
        <f t="shared" si="5"/>
        <v>0</v>
      </c>
    </row>
    <row r="37" spans="4:22" x14ac:dyDescent="0.2">
      <c r="D37" s="21"/>
      <c r="E37" s="28"/>
      <c r="F37" s="22"/>
      <c r="G37" s="23"/>
      <c r="H37" s="22"/>
      <c r="I37" s="23"/>
      <c r="J37" s="22"/>
      <c r="K37" s="23"/>
      <c r="L37" s="22"/>
      <c r="M37" s="23"/>
      <c r="N37" s="1"/>
      <c r="O37" s="25">
        <f t="shared" si="1"/>
        <v>0</v>
      </c>
      <c r="P37" s="26">
        <f t="shared" si="6"/>
        <v>0</v>
      </c>
      <c r="Q37" s="27" t="str">
        <f t="shared" si="2"/>
        <v>-</v>
      </c>
      <c r="R37" s="1"/>
      <c r="S37" s="13">
        <f t="shared" si="3"/>
        <v>0</v>
      </c>
      <c r="T37" s="14">
        <f t="shared" si="3"/>
        <v>0</v>
      </c>
      <c r="U37" s="13">
        <f t="shared" si="4"/>
        <v>0</v>
      </c>
      <c r="V37" s="14">
        <f t="shared" si="5"/>
        <v>0</v>
      </c>
    </row>
    <row r="38" spans="4:22" x14ac:dyDescent="0.2">
      <c r="D38" s="21"/>
      <c r="E38" s="28"/>
      <c r="F38" s="22"/>
      <c r="G38" s="23"/>
      <c r="H38" s="22"/>
      <c r="I38" s="23"/>
      <c r="J38" s="22"/>
      <c r="K38" s="23"/>
      <c r="L38" s="22"/>
      <c r="M38" s="23"/>
      <c r="N38" s="1"/>
      <c r="O38" s="25">
        <f t="shared" si="1"/>
        <v>0</v>
      </c>
      <c r="P38" s="26">
        <f t="shared" si="6"/>
        <v>0</v>
      </c>
      <c r="Q38" s="27" t="str">
        <f t="shared" si="2"/>
        <v>-</v>
      </c>
      <c r="R38" s="1"/>
      <c r="S38" s="13">
        <f t="shared" si="3"/>
        <v>0</v>
      </c>
      <c r="T38" s="14">
        <f t="shared" si="3"/>
        <v>0</v>
      </c>
      <c r="U38" s="13">
        <f t="shared" si="4"/>
        <v>0</v>
      </c>
      <c r="V38" s="14">
        <f t="shared" si="5"/>
        <v>0</v>
      </c>
    </row>
    <row r="39" spans="4:22" x14ac:dyDescent="0.2">
      <c r="D39" s="21"/>
      <c r="E39" s="28"/>
      <c r="F39" s="22"/>
      <c r="G39" s="23"/>
      <c r="H39" s="22"/>
      <c r="I39" s="23"/>
      <c r="J39" s="22"/>
      <c r="K39" s="23"/>
      <c r="L39" s="22"/>
      <c r="M39" s="23"/>
      <c r="N39" s="1"/>
      <c r="O39" s="25">
        <f t="shared" si="1"/>
        <v>0</v>
      </c>
      <c r="P39" s="26">
        <f t="shared" si="6"/>
        <v>0</v>
      </c>
      <c r="Q39" s="27" t="str">
        <f t="shared" si="2"/>
        <v>-</v>
      </c>
      <c r="R39" s="1"/>
      <c r="S39" s="13">
        <f t="shared" si="3"/>
        <v>0</v>
      </c>
      <c r="T39" s="14">
        <f t="shared" si="3"/>
        <v>0</v>
      </c>
      <c r="U39" s="13">
        <f t="shared" si="4"/>
        <v>0</v>
      </c>
      <c r="V39" s="14">
        <f t="shared" si="5"/>
        <v>0</v>
      </c>
    </row>
    <row r="40" spans="4:22" x14ac:dyDescent="0.2">
      <c r="D40" s="21"/>
      <c r="E40" s="28"/>
      <c r="F40" s="22"/>
      <c r="G40" s="23"/>
      <c r="H40" s="22"/>
      <c r="I40" s="23"/>
      <c r="J40" s="22"/>
      <c r="K40" s="23"/>
      <c r="L40" s="22"/>
      <c r="M40" s="23"/>
      <c r="N40" s="1"/>
      <c r="O40" s="25">
        <f t="shared" si="1"/>
        <v>0</v>
      </c>
      <c r="P40" s="26">
        <f t="shared" si="6"/>
        <v>0</v>
      </c>
      <c r="Q40" s="27" t="str">
        <f t="shared" si="2"/>
        <v>-</v>
      </c>
      <c r="R40" s="1"/>
      <c r="S40" s="13">
        <f t="shared" si="3"/>
        <v>0</v>
      </c>
      <c r="T40" s="14">
        <f t="shared" si="3"/>
        <v>0</v>
      </c>
      <c r="U40" s="13">
        <f t="shared" si="4"/>
        <v>0</v>
      </c>
      <c r="V40" s="14">
        <f t="shared" si="5"/>
        <v>0</v>
      </c>
    </row>
    <row r="41" spans="4:22" x14ac:dyDescent="0.2">
      <c r="D41" s="21"/>
      <c r="E41" s="28"/>
      <c r="F41" s="22"/>
      <c r="G41" s="23"/>
      <c r="H41" s="22"/>
      <c r="I41" s="23"/>
      <c r="J41" s="22"/>
      <c r="K41" s="23"/>
      <c r="L41" s="22"/>
      <c r="M41" s="23"/>
      <c r="N41" s="1"/>
      <c r="O41" s="25">
        <f t="shared" si="1"/>
        <v>0</v>
      </c>
      <c r="P41" s="26">
        <f t="shared" si="6"/>
        <v>0</v>
      </c>
      <c r="Q41" s="27" t="str">
        <f t="shared" si="2"/>
        <v>-</v>
      </c>
      <c r="R41" s="1"/>
      <c r="S41" s="13">
        <f t="shared" si="3"/>
        <v>0</v>
      </c>
      <c r="T41" s="14">
        <f t="shared" si="3"/>
        <v>0</v>
      </c>
      <c r="U41" s="13">
        <f t="shared" si="4"/>
        <v>0</v>
      </c>
      <c r="V41" s="14">
        <f t="shared" si="5"/>
        <v>0</v>
      </c>
    </row>
    <row r="42" spans="4:22" x14ac:dyDescent="0.2">
      <c r="D42" s="21"/>
      <c r="E42" s="28"/>
      <c r="F42" s="22"/>
      <c r="G42" s="23"/>
      <c r="H42" s="22"/>
      <c r="I42" s="23"/>
      <c r="J42" s="22"/>
      <c r="K42" s="23"/>
      <c r="L42" s="22"/>
      <c r="M42" s="23"/>
      <c r="N42" s="1"/>
      <c r="O42" s="25">
        <f t="shared" si="1"/>
        <v>0</v>
      </c>
      <c r="P42" s="26">
        <f t="shared" si="6"/>
        <v>0</v>
      </c>
      <c r="Q42" s="27" t="str">
        <f t="shared" si="2"/>
        <v>-</v>
      </c>
      <c r="R42" s="1"/>
      <c r="S42" s="13">
        <f t="shared" si="3"/>
        <v>0</v>
      </c>
      <c r="T42" s="14">
        <f t="shared" si="3"/>
        <v>0</v>
      </c>
      <c r="U42" s="13">
        <f t="shared" si="4"/>
        <v>0</v>
      </c>
      <c r="V42" s="14">
        <f t="shared" si="5"/>
        <v>0</v>
      </c>
    </row>
    <row r="43" spans="4:22" x14ac:dyDescent="0.2">
      <c r="D43" s="21"/>
      <c r="E43" s="28"/>
      <c r="F43" s="22"/>
      <c r="G43" s="23"/>
      <c r="H43" s="22"/>
      <c r="I43" s="23"/>
      <c r="J43" s="22"/>
      <c r="K43" s="23"/>
      <c r="L43" s="22"/>
      <c r="M43" s="23"/>
      <c r="N43" s="1"/>
      <c r="O43" s="25">
        <f t="shared" si="1"/>
        <v>0</v>
      </c>
      <c r="P43" s="26">
        <f t="shared" si="6"/>
        <v>0</v>
      </c>
      <c r="Q43" s="27" t="str">
        <f t="shared" si="2"/>
        <v>-</v>
      </c>
      <c r="R43" s="1"/>
      <c r="S43" s="13">
        <f t="shared" si="3"/>
        <v>0</v>
      </c>
      <c r="T43" s="14">
        <f t="shared" si="3"/>
        <v>0</v>
      </c>
      <c r="U43" s="13">
        <f t="shared" si="4"/>
        <v>0</v>
      </c>
      <c r="V43" s="14">
        <f t="shared" si="5"/>
        <v>0</v>
      </c>
    </row>
    <row r="44" spans="4:22" x14ac:dyDescent="0.2">
      <c r="D44" s="21"/>
      <c r="E44" s="28"/>
      <c r="F44" s="22"/>
      <c r="G44" s="23"/>
      <c r="H44" s="22"/>
      <c r="I44" s="23"/>
      <c r="J44" s="22"/>
      <c r="K44" s="23"/>
      <c r="L44" s="22"/>
      <c r="M44" s="23"/>
      <c r="N44" s="1"/>
      <c r="O44" s="25">
        <f t="shared" si="1"/>
        <v>0</v>
      </c>
      <c r="P44" s="26">
        <f t="shared" si="6"/>
        <v>0</v>
      </c>
      <c r="Q44" s="27" t="str">
        <f t="shared" si="2"/>
        <v>-</v>
      </c>
      <c r="R44" s="1"/>
      <c r="S44" s="13">
        <f t="shared" si="3"/>
        <v>0</v>
      </c>
      <c r="T44" s="14">
        <f t="shared" si="3"/>
        <v>0</v>
      </c>
      <c r="U44" s="13">
        <f t="shared" si="4"/>
        <v>0</v>
      </c>
      <c r="V44" s="14">
        <f t="shared" si="5"/>
        <v>0</v>
      </c>
    </row>
    <row r="45" spans="4:22" x14ac:dyDescent="0.2">
      <c r="D45" s="21"/>
      <c r="E45" s="28"/>
      <c r="F45" s="22"/>
      <c r="G45" s="23"/>
      <c r="H45" s="22"/>
      <c r="I45" s="23"/>
      <c r="J45" s="22"/>
      <c r="K45" s="23"/>
      <c r="L45" s="22"/>
      <c r="M45" s="23"/>
      <c r="N45" s="1"/>
      <c r="O45" s="25">
        <f t="shared" si="1"/>
        <v>0</v>
      </c>
      <c r="P45" s="26">
        <f t="shared" si="6"/>
        <v>0</v>
      </c>
      <c r="Q45" s="27" t="str">
        <f t="shared" si="2"/>
        <v>-</v>
      </c>
      <c r="R45" s="1"/>
      <c r="S45" s="13">
        <f t="shared" si="3"/>
        <v>0</v>
      </c>
      <c r="T45" s="14">
        <f t="shared" si="3"/>
        <v>0</v>
      </c>
      <c r="U45" s="13">
        <f t="shared" si="4"/>
        <v>0</v>
      </c>
      <c r="V45" s="14">
        <f t="shared" si="5"/>
        <v>0</v>
      </c>
    </row>
    <row r="46" spans="4:22" x14ac:dyDescent="0.2">
      <c r="D46" s="21"/>
      <c r="E46" s="28"/>
      <c r="F46" s="22"/>
      <c r="G46" s="23"/>
      <c r="H46" s="22"/>
      <c r="I46" s="23"/>
      <c r="J46" s="22"/>
      <c r="K46" s="23"/>
      <c r="L46" s="22"/>
      <c r="M46" s="23"/>
      <c r="N46" s="1"/>
      <c r="O46" s="25">
        <f t="shared" si="1"/>
        <v>0</v>
      </c>
      <c r="P46" s="26">
        <f t="shared" si="6"/>
        <v>0</v>
      </c>
      <c r="Q46" s="27" t="str">
        <f t="shared" si="2"/>
        <v>-</v>
      </c>
      <c r="R46" s="1"/>
      <c r="S46" s="13">
        <f t="shared" si="3"/>
        <v>0</v>
      </c>
      <c r="T46" s="14">
        <f t="shared" si="3"/>
        <v>0</v>
      </c>
      <c r="U46" s="13">
        <f t="shared" si="4"/>
        <v>0</v>
      </c>
      <c r="V46" s="14">
        <f t="shared" si="5"/>
        <v>0</v>
      </c>
    </row>
    <row r="47" spans="4:22" ht="13.5" thickBot="1" x14ac:dyDescent="0.25">
      <c r="D47" s="39"/>
      <c r="E47" s="28"/>
      <c r="F47" s="33"/>
      <c r="G47" s="34"/>
      <c r="H47" s="33"/>
      <c r="I47" s="34"/>
      <c r="J47" s="33"/>
      <c r="K47" s="34"/>
      <c r="L47" s="33"/>
      <c r="M47" s="34"/>
      <c r="N47" s="1"/>
      <c r="O47" s="35">
        <f t="shared" si="1"/>
        <v>0</v>
      </c>
      <c r="P47" s="44">
        <f t="shared" si="6"/>
        <v>0</v>
      </c>
      <c r="Q47" s="36" t="str">
        <f t="shared" si="2"/>
        <v>-</v>
      </c>
      <c r="R47" s="1"/>
      <c r="S47" s="37">
        <f t="shared" si="3"/>
        <v>0</v>
      </c>
      <c r="T47" s="38">
        <f t="shared" si="3"/>
        <v>0</v>
      </c>
      <c r="U47" s="37">
        <f t="shared" si="4"/>
        <v>0</v>
      </c>
      <c r="V47" s="38">
        <f t="shared" si="5"/>
        <v>0</v>
      </c>
    </row>
  </sheetData>
  <mergeCells count="11">
    <mergeCell ref="U4:V4"/>
    <mergeCell ref="D3:D5"/>
    <mergeCell ref="F3:I3"/>
    <mergeCell ref="J3:M3"/>
    <mergeCell ref="O3:Q4"/>
    <mergeCell ref="S3:V3"/>
    <mergeCell ref="F4:G4"/>
    <mergeCell ref="H4:I4"/>
    <mergeCell ref="J4:K4"/>
    <mergeCell ref="L4:M4"/>
    <mergeCell ref="S4:T4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Z47"/>
  <sheetViews>
    <sheetView showGridLines="0" topLeftCell="B1" zoomScaleNormal="100" workbookViewId="0">
      <selection activeCell="I36" sqref="I36"/>
    </sheetView>
  </sheetViews>
  <sheetFormatPr defaultRowHeight="12.75" x14ac:dyDescent="0.2"/>
  <cols>
    <col min="2" max="2" width="20.140625" bestFit="1" customWidth="1"/>
    <col min="5" max="5" width="0.7109375" customWidth="1"/>
    <col min="6" max="6" width="8.140625" bestFit="1" customWidth="1"/>
    <col min="7" max="7" width="12.28515625" bestFit="1" customWidth="1"/>
    <col min="8" max="8" width="8.140625" bestFit="1" customWidth="1"/>
    <col min="9" max="9" width="12.28515625" bestFit="1" customWidth="1"/>
    <col min="10" max="10" width="8.140625" bestFit="1" customWidth="1"/>
    <col min="11" max="11" width="12.28515625" bestFit="1" customWidth="1"/>
    <col min="12" max="12" width="8.140625" bestFit="1" customWidth="1"/>
    <col min="13" max="13" width="12.28515625" bestFit="1" customWidth="1"/>
    <col min="14" max="14" width="0.85546875" customWidth="1"/>
    <col min="15" max="15" width="13.140625" bestFit="1" customWidth="1"/>
    <col min="16" max="16" width="16.28515625" customWidth="1"/>
    <col min="17" max="17" width="13.5703125" customWidth="1"/>
    <col min="18" max="18" width="0.85546875" customWidth="1"/>
    <col min="19" max="19" width="8.140625" bestFit="1" customWidth="1"/>
    <col min="20" max="20" width="12.28515625" bestFit="1" customWidth="1"/>
    <col min="21" max="21" width="8.140625" bestFit="1" customWidth="1"/>
    <col min="22" max="22" width="12.28515625" bestFit="1" customWidth="1"/>
  </cols>
  <sheetData>
    <row r="2" spans="2:26" ht="13.5" thickBot="1" x14ac:dyDescent="0.25"/>
    <row r="3" spans="2:26" ht="13.5" thickBot="1" x14ac:dyDescent="0.25">
      <c r="B3" s="4" t="s">
        <v>4</v>
      </c>
      <c r="D3" s="77" t="s">
        <v>0</v>
      </c>
      <c r="E3" s="28"/>
      <c r="F3" s="79" t="s">
        <v>14</v>
      </c>
      <c r="G3" s="80"/>
      <c r="H3" s="80"/>
      <c r="I3" s="81"/>
      <c r="J3" s="82" t="s">
        <v>13</v>
      </c>
      <c r="K3" s="83"/>
      <c r="L3" s="83"/>
      <c r="M3" s="84"/>
      <c r="N3" s="1"/>
      <c r="O3" s="85" t="s">
        <v>3</v>
      </c>
      <c r="P3" s="86"/>
      <c r="Q3" s="87"/>
      <c r="S3" s="91" t="s">
        <v>15</v>
      </c>
      <c r="T3" s="92"/>
      <c r="U3" s="92"/>
      <c r="V3" s="93"/>
    </row>
    <row r="4" spans="2:26" ht="13.5" thickBot="1" x14ac:dyDescent="0.25">
      <c r="B4" s="5">
        <v>7</v>
      </c>
      <c r="D4" s="78"/>
      <c r="E4" s="28"/>
      <c r="F4" s="94" t="s">
        <v>1</v>
      </c>
      <c r="G4" s="95"/>
      <c r="H4" s="75" t="s">
        <v>2</v>
      </c>
      <c r="I4" s="76"/>
      <c r="J4" s="94" t="s">
        <v>1</v>
      </c>
      <c r="K4" s="95"/>
      <c r="L4" s="75" t="s">
        <v>2</v>
      </c>
      <c r="M4" s="76"/>
      <c r="N4" s="1"/>
      <c r="O4" s="88"/>
      <c r="P4" s="89"/>
      <c r="Q4" s="90"/>
      <c r="S4" s="94" t="s">
        <v>1</v>
      </c>
      <c r="T4" s="95"/>
      <c r="U4" s="75" t="s">
        <v>2</v>
      </c>
      <c r="V4" s="76"/>
    </row>
    <row r="5" spans="2:26" ht="13.5" thickBot="1" x14ac:dyDescent="0.25">
      <c r="B5" s="1"/>
      <c r="D5" s="78"/>
      <c r="E5" s="28"/>
      <c r="F5" s="2" t="s">
        <v>6</v>
      </c>
      <c r="G5" s="3" t="s">
        <v>7</v>
      </c>
      <c r="H5" s="2" t="s">
        <v>6</v>
      </c>
      <c r="I5" s="3" t="s">
        <v>7</v>
      </c>
      <c r="J5" s="2" t="s">
        <v>6</v>
      </c>
      <c r="K5" s="3" t="s">
        <v>7</v>
      </c>
      <c r="L5" s="2" t="s">
        <v>6</v>
      </c>
      <c r="M5" s="3" t="s">
        <v>7</v>
      </c>
      <c r="N5" s="1"/>
      <c r="O5" s="2" t="s">
        <v>8</v>
      </c>
      <c r="P5" s="40" t="s">
        <v>9</v>
      </c>
      <c r="Q5" s="3" t="s">
        <v>10</v>
      </c>
      <c r="S5" s="17" t="s">
        <v>6</v>
      </c>
      <c r="T5" s="18" t="s">
        <v>7</v>
      </c>
      <c r="U5" s="2" t="s">
        <v>6</v>
      </c>
      <c r="V5" s="3" t="s">
        <v>7</v>
      </c>
    </row>
    <row r="6" spans="2:26" ht="13.5" thickBot="1" x14ac:dyDescent="0.25">
      <c r="B6" s="4" t="s">
        <v>5</v>
      </c>
      <c r="D6" s="19">
        <v>44075</v>
      </c>
      <c r="E6" s="29"/>
      <c r="F6" s="9">
        <v>8</v>
      </c>
      <c r="G6" s="10">
        <v>46</v>
      </c>
      <c r="H6" s="9">
        <v>19</v>
      </c>
      <c r="I6" s="10">
        <v>6</v>
      </c>
      <c r="J6" s="9">
        <v>0</v>
      </c>
      <c r="K6" s="10">
        <v>0</v>
      </c>
      <c r="L6" s="55">
        <v>0</v>
      </c>
      <c r="M6" s="10">
        <v>0</v>
      </c>
      <c r="N6" s="7"/>
      <c r="O6" s="41">
        <f>IFERROR(((H6+I6/60)-(F6+G6/60))+((L6+M6/60)-(J6+K6/60)), "-")</f>
        <v>10.333333333333334</v>
      </c>
      <c r="P6" s="42">
        <f t="shared" ref="P6:P15" si="0">IFERROR(IF(O6-$B$7&gt;0,O6-$B$7, 0),0)</f>
        <v>9.6333333333333346</v>
      </c>
      <c r="Q6" s="43">
        <f>IFERROR(IF(P6-$B$4&gt;-7,P6-$B$4, "-"),0)</f>
        <v>2.6333333333333346</v>
      </c>
      <c r="R6" s="8"/>
      <c r="S6" s="15">
        <f>IFERROR(F6, "-")</f>
        <v>8</v>
      </c>
      <c r="T6" s="16">
        <f>IFERROR(G6, "-")</f>
        <v>46</v>
      </c>
      <c r="U6" s="15">
        <f>IFERROR(INT(S6+T6/60+O6),"-")</f>
        <v>19</v>
      </c>
      <c r="V6" s="16">
        <f>IFERROR((S6+T6/60+O6-INT(S6+T6/60+O6))*60,"-")</f>
        <v>6.0000000000000853</v>
      </c>
    </row>
    <row r="7" spans="2:26" ht="13.5" thickBot="1" x14ac:dyDescent="0.25">
      <c r="B7" s="6">
        <f>42/60</f>
        <v>0.7</v>
      </c>
      <c r="D7" s="20">
        <v>44076</v>
      </c>
      <c r="E7" s="29"/>
      <c r="F7" s="11">
        <v>10</v>
      </c>
      <c r="G7" s="12">
        <v>51</v>
      </c>
      <c r="H7" s="11">
        <v>19</v>
      </c>
      <c r="I7" s="12">
        <v>7</v>
      </c>
      <c r="J7" s="11">
        <v>0</v>
      </c>
      <c r="K7" s="12">
        <v>0</v>
      </c>
      <c r="L7" s="56">
        <v>0</v>
      </c>
      <c r="M7" s="12">
        <v>0</v>
      </c>
      <c r="N7" s="7"/>
      <c r="O7" s="25">
        <f>IFERROR(((H7+I7/60)-(F7+G7/60))+((L7+M7/60)-(J7+K7/60)), "-")</f>
        <v>8.2666666666666675</v>
      </c>
      <c r="P7" s="26">
        <f t="shared" si="0"/>
        <v>7.5666666666666673</v>
      </c>
      <c r="Q7" s="27">
        <f>IFERROR(IF(P7-$B$4&gt;-7,P7-$B$4, "-"),0)</f>
        <v>0.56666666666666732</v>
      </c>
      <c r="R7" s="8"/>
      <c r="S7" s="13">
        <f>IFERROR(F7, "-")</f>
        <v>10</v>
      </c>
      <c r="T7" s="14">
        <f>IFERROR(G7, "-")</f>
        <v>51</v>
      </c>
      <c r="U7" s="13">
        <f>IFERROR(INT(S7+T7/60+O7),"-")</f>
        <v>19</v>
      </c>
      <c r="V7" s="14">
        <f>IFERROR((S7+T7/60+O7-INT(S7+T7/60+O7))*60,"-")</f>
        <v>7.0000000000000284</v>
      </c>
    </row>
    <row r="8" spans="2:26" ht="13.5" thickBot="1" x14ac:dyDescent="0.25">
      <c r="D8" s="20">
        <v>44077</v>
      </c>
      <c r="E8" s="28"/>
      <c r="F8" s="13">
        <v>9</v>
      </c>
      <c r="G8" s="14">
        <v>30</v>
      </c>
      <c r="H8" s="13">
        <v>19</v>
      </c>
      <c r="I8" s="14">
        <v>31</v>
      </c>
      <c r="J8" s="13">
        <v>0</v>
      </c>
      <c r="K8" s="14">
        <v>0</v>
      </c>
      <c r="L8" s="49">
        <v>0</v>
      </c>
      <c r="M8" s="14">
        <v>0</v>
      </c>
      <c r="N8" s="8"/>
      <c r="O8" s="25">
        <f t="shared" ref="O8:O47" si="1">IFERROR(((H8+I8/60)-(F8+G8/60))+((L8+M8/60)-(J8+K8/60)), "-")</f>
        <v>10.016666666666666</v>
      </c>
      <c r="P8" s="26">
        <f t="shared" si="0"/>
        <v>9.3166666666666664</v>
      </c>
      <c r="Q8" s="27">
        <f t="shared" ref="Q8:Q47" si="2">IFERROR(IF(P8-$B$4&gt;-7,P8-$B$4, "-"),0)</f>
        <v>2.3166666666666664</v>
      </c>
      <c r="R8" s="8"/>
      <c r="S8" s="13">
        <f t="shared" ref="S8:T47" si="3">IFERROR(F8, "-")</f>
        <v>9</v>
      </c>
      <c r="T8" s="14">
        <f t="shared" si="3"/>
        <v>30</v>
      </c>
      <c r="U8" s="13">
        <f t="shared" ref="U8:U47" si="4">IFERROR(INT(S8+T8/60+O8),"-")</f>
        <v>19</v>
      </c>
      <c r="V8" s="14">
        <f t="shared" ref="V8:V47" si="5">IFERROR((S8+T8/60+O8-INT(S8+T8/60+O8))*60,"-")</f>
        <v>30.999999999999943</v>
      </c>
      <c r="X8" s="32"/>
      <c r="Y8" s="32"/>
      <c r="Z8" s="32"/>
    </row>
    <row r="9" spans="2:26" ht="13.5" thickBot="1" x14ac:dyDescent="0.25">
      <c r="B9" s="4" t="s">
        <v>11</v>
      </c>
      <c r="D9" s="20">
        <v>44078</v>
      </c>
      <c r="E9" s="28"/>
      <c r="F9" s="13">
        <v>11</v>
      </c>
      <c r="G9" s="14">
        <v>21</v>
      </c>
      <c r="H9" s="13">
        <v>19</v>
      </c>
      <c r="I9" s="14">
        <v>12</v>
      </c>
      <c r="J9" s="13">
        <v>0</v>
      </c>
      <c r="K9" s="14">
        <v>0</v>
      </c>
      <c r="L9" s="49">
        <v>0</v>
      </c>
      <c r="M9" s="14">
        <v>0</v>
      </c>
      <c r="N9" s="8"/>
      <c r="O9" s="25">
        <f t="shared" si="1"/>
        <v>7.85</v>
      </c>
      <c r="P9" s="26">
        <f t="shared" si="0"/>
        <v>7.1499999999999995</v>
      </c>
      <c r="Q9" s="27">
        <f t="shared" si="2"/>
        <v>0.14999999999999947</v>
      </c>
      <c r="R9" s="8"/>
      <c r="S9" s="13">
        <f t="shared" si="3"/>
        <v>11</v>
      </c>
      <c r="T9" s="14">
        <f t="shared" si="3"/>
        <v>21</v>
      </c>
      <c r="U9" s="13">
        <f t="shared" si="4"/>
        <v>19</v>
      </c>
      <c r="V9" s="14">
        <f t="shared" si="5"/>
        <v>11.999999999999957</v>
      </c>
    </row>
    <row r="10" spans="2:26" ht="13.5" thickBot="1" x14ac:dyDescent="0.25">
      <c r="B10" s="5">
        <f>SUM(O6:O47)</f>
        <v>138.20833333333331</v>
      </c>
      <c r="D10" s="20">
        <v>44079</v>
      </c>
      <c r="E10" s="30"/>
      <c r="F10" s="22" t="s">
        <v>16</v>
      </c>
      <c r="G10" s="23" t="s">
        <v>16</v>
      </c>
      <c r="H10" s="22" t="s">
        <v>16</v>
      </c>
      <c r="I10" s="23" t="s">
        <v>16</v>
      </c>
      <c r="J10" s="22" t="s">
        <v>16</v>
      </c>
      <c r="K10" s="23" t="s">
        <v>16</v>
      </c>
      <c r="L10" s="48" t="s">
        <v>16</v>
      </c>
      <c r="M10" s="23" t="s">
        <v>16</v>
      </c>
      <c r="O10" s="25" t="str">
        <f>IFERROR(((#REF!+#REF!/60)-(#REF!+#REF!/60))+((#REF!+#REF!/60)-(#REF!+#REF!/60)), "-")</f>
        <v>-</v>
      </c>
      <c r="P10" s="26">
        <f t="shared" si="0"/>
        <v>0</v>
      </c>
      <c r="Q10" s="27" t="str">
        <f t="shared" si="2"/>
        <v>-</v>
      </c>
      <c r="S10" s="13" t="str">
        <f>IFERROR(#REF!, "-")</f>
        <v>-</v>
      </c>
      <c r="T10" s="14" t="str">
        <f>IFERROR(#REF!, "-")</f>
        <v>-</v>
      </c>
      <c r="U10" s="13" t="str">
        <f t="shared" si="4"/>
        <v>-</v>
      </c>
      <c r="V10" s="14" t="str">
        <f t="shared" si="5"/>
        <v>-</v>
      </c>
    </row>
    <row r="11" spans="2:26" ht="13.5" thickBot="1" x14ac:dyDescent="0.25">
      <c r="D11" s="20">
        <v>44080</v>
      </c>
      <c r="E11" s="30"/>
      <c r="F11" s="22" t="s">
        <v>16</v>
      </c>
      <c r="G11" s="23" t="s">
        <v>16</v>
      </c>
      <c r="H11" s="22" t="s">
        <v>16</v>
      </c>
      <c r="I11" s="23" t="s">
        <v>16</v>
      </c>
      <c r="J11" s="22" t="s">
        <v>16</v>
      </c>
      <c r="K11" s="23" t="s">
        <v>16</v>
      </c>
      <c r="L11" s="48" t="s">
        <v>16</v>
      </c>
      <c r="M11" s="23" t="s">
        <v>16</v>
      </c>
      <c r="O11" s="25" t="str">
        <f>IFERROR(((H10+I10/60)-(F10+G10/60))+((L10+M10/60)-(J10+K10/60)), "-")</f>
        <v>-</v>
      </c>
      <c r="P11" s="26">
        <f t="shared" si="0"/>
        <v>0</v>
      </c>
      <c r="Q11" s="27" t="str">
        <f t="shared" si="2"/>
        <v>-</v>
      </c>
      <c r="S11" s="13" t="str">
        <f>IFERROR(F10, "-")</f>
        <v>-</v>
      </c>
      <c r="T11" s="14" t="str">
        <f>IFERROR(G10, "-")</f>
        <v>-</v>
      </c>
      <c r="U11" s="13" t="str">
        <f t="shared" si="4"/>
        <v>-</v>
      </c>
      <c r="V11" s="14" t="str">
        <f t="shared" si="5"/>
        <v>-</v>
      </c>
    </row>
    <row r="12" spans="2:26" ht="13.5" thickBot="1" x14ac:dyDescent="0.25">
      <c r="B12" s="4" t="s">
        <v>12</v>
      </c>
      <c r="D12" s="20">
        <v>44081</v>
      </c>
      <c r="E12" s="30"/>
      <c r="F12" s="13">
        <v>10</v>
      </c>
      <c r="G12" s="14">
        <v>43</v>
      </c>
      <c r="H12" s="13">
        <v>19</v>
      </c>
      <c r="I12" s="14">
        <v>30</v>
      </c>
      <c r="J12" s="13">
        <v>0</v>
      </c>
      <c r="K12" s="14">
        <v>0</v>
      </c>
      <c r="L12" s="49">
        <v>0</v>
      </c>
      <c r="M12" s="14">
        <v>0</v>
      </c>
      <c r="O12" s="25">
        <f>IFERROR(((H12+I12/60)-(F12+G12/60))+((L12+M12/60)-(J12+K12/60)), "-")</f>
        <v>8.7833333333333332</v>
      </c>
      <c r="P12" s="26">
        <f t="shared" si="0"/>
        <v>8.0833333333333339</v>
      </c>
      <c r="Q12" s="27">
        <f t="shared" si="2"/>
        <v>1.0833333333333339</v>
      </c>
      <c r="S12" s="13">
        <f>IFERROR(F12, "-")</f>
        <v>10</v>
      </c>
      <c r="T12" s="14">
        <f>IFERROR(G12, "-")</f>
        <v>43</v>
      </c>
      <c r="U12" s="13">
        <f t="shared" si="4"/>
        <v>19</v>
      </c>
      <c r="V12" s="14">
        <f t="shared" si="5"/>
        <v>30</v>
      </c>
    </row>
    <row r="13" spans="2:26" ht="13.5" thickBot="1" x14ac:dyDescent="0.25">
      <c r="B13" s="5">
        <f>SUM(Q6:Q47)</f>
        <v>22.591666666666679</v>
      </c>
      <c r="D13" s="20">
        <v>44082</v>
      </c>
      <c r="E13" s="30"/>
      <c r="F13" s="13">
        <v>10</v>
      </c>
      <c r="G13" s="14">
        <v>21</v>
      </c>
      <c r="H13" s="13">
        <v>19</v>
      </c>
      <c r="I13" s="14">
        <v>30</v>
      </c>
      <c r="J13" s="13">
        <v>0</v>
      </c>
      <c r="K13" s="14">
        <v>0</v>
      </c>
      <c r="L13" s="49">
        <v>0</v>
      </c>
      <c r="M13" s="24">
        <v>0</v>
      </c>
      <c r="O13" s="25">
        <f t="shared" si="1"/>
        <v>9.15</v>
      </c>
      <c r="P13" s="26">
        <f t="shared" si="0"/>
        <v>8.4500000000000011</v>
      </c>
      <c r="Q13" s="27">
        <f t="shared" si="2"/>
        <v>1.4500000000000011</v>
      </c>
      <c r="S13" s="13">
        <f t="shared" si="3"/>
        <v>10</v>
      </c>
      <c r="T13" s="14">
        <f t="shared" si="3"/>
        <v>21</v>
      </c>
      <c r="U13" s="13">
        <f t="shared" si="4"/>
        <v>19</v>
      </c>
      <c r="V13" s="14">
        <f t="shared" si="5"/>
        <v>30</v>
      </c>
    </row>
    <row r="14" spans="2:26" x14ac:dyDescent="0.2">
      <c r="D14" s="20">
        <v>44083</v>
      </c>
      <c r="E14" s="30"/>
      <c r="F14" s="13">
        <v>8</v>
      </c>
      <c r="G14" s="14">
        <v>38</v>
      </c>
      <c r="H14" s="13">
        <v>18</v>
      </c>
      <c r="I14" s="14">
        <v>54</v>
      </c>
      <c r="J14" s="13">
        <v>0</v>
      </c>
      <c r="K14" s="14">
        <v>0</v>
      </c>
      <c r="L14" s="49">
        <v>0</v>
      </c>
      <c r="M14" s="24">
        <v>0</v>
      </c>
      <c r="O14" s="25">
        <f t="shared" si="1"/>
        <v>10.266666666666666</v>
      </c>
      <c r="P14" s="26">
        <f t="shared" si="0"/>
        <v>9.5666666666666664</v>
      </c>
      <c r="Q14" s="27">
        <f t="shared" si="2"/>
        <v>2.5666666666666664</v>
      </c>
      <c r="S14" s="13">
        <f t="shared" si="3"/>
        <v>8</v>
      </c>
      <c r="T14" s="14">
        <f t="shared" si="3"/>
        <v>38</v>
      </c>
      <c r="U14" s="13">
        <f t="shared" si="4"/>
        <v>18</v>
      </c>
      <c r="V14" s="14">
        <f t="shared" si="5"/>
        <v>53.999999999999915</v>
      </c>
    </row>
    <row r="15" spans="2:26" x14ac:dyDescent="0.2">
      <c r="D15" s="20">
        <v>44084</v>
      </c>
      <c r="E15" s="30"/>
      <c r="F15" s="13">
        <v>9</v>
      </c>
      <c r="G15" s="14">
        <v>12</v>
      </c>
      <c r="H15" s="13">
        <v>19</v>
      </c>
      <c r="I15" s="14">
        <v>6</v>
      </c>
      <c r="J15" s="13">
        <v>0</v>
      </c>
      <c r="K15" s="14">
        <v>0</v>
      </c>
      <c r="L15" s="49">
        <v>0</v>
      </c>
      <c r="M15" s="24">
        <v>0</v>
      </c>
      <c r="O15" s="25">
        <f t="shared" si="1"/>
        <v>9.9000000000000021</v>
      </c>
      <c r="P15" s="26">
        <f t="shared" si="0"/>
        <v>9.2000000000000028</v>
      </c>
      <c r="Q15" s="27">
        <f t="shared" si="2"/>
        <v>2.2000000000000028</v>
      </c>
      <c r="S15" s="13">
        <f t="shared" si="3"/>
        <v>9</v>
      </c>
      <c r="T15" s="14">
        <f t="shared" si="3"/>
        <v>12</v>
      </c>
      <c r="U15" s="13">
        <f t="shared" si="4"/>
        <v>19</v>
      </c>
      <c r="V15" s="14">
        <f t="shared" si="5"/>
        <v>6.0000000000000853</v>
      </c>
    </row>
    <row r="16" spans="2:26" x14ac:dyDescent="0.2">
      <c r="D16" s="20">
        <v>44085</v>
      </c>
      <c r="E16" s="30"/>
      <c r="F16" s="13">
        <v>9</v>
      </c>
      <c r="G16" s="14">
        <v>2</v>
      </c>
      <c r="H16" s="13">
        <v>19</v>
      </c>
      <c r="I16" s="14">
        <v>44</v>
      </c>
      <c r="J16" s="13">
        <v>0</v>
      </c>
      <c r="K16" s="14">
        <v>0</v>
      </c>
      <c r="L16" s="49">
        <v>0</v>
      </c>
      <c r="M16" s="24">
        <v>0</v>
      </c>
      <c r="O16" s="25">
        <f t="shared" si="1"/>
        <v>10.700000000000001</v>
      </c>
      <c r="P16" s="26">
        <f>IFERROR(IF(O16-$B$7&gt;0,O16-$B$7, 0),0)</f>
        <v>10.000000000000002</v>
      </c>
      <c r="Q16" s="27">
        <f t="shared" si="2"/>
        <v>3.0000000000000018</v>
      </c>
      <c r="S16" s="13">
        <f t="shared" si="3"/>
        <v>9</v>
      </c>
      <c r="T16" s="14">
        <f t="shared" si="3"/>
        <v>2</v>
      </c>
      <c r="U16" s="13">
        <f t="shared" si="4"/>
        <v>19</v>
      </c>
      <c r="V16" s="14">
        <f t="shared" si="5"/>
        <v>44.000000000000057</v>
      </c>
    </row>
    <row r="17" spans="4:25" x14ac:dyDescent="0.2">
      <c r="D17" s="20">
        <v>44086</v>
      </c>
      <c r="E17" s="30"/>
      <c r="F17" s="22" t="s">
        <v>16</v>
      </c>
      <c r="G17" s="23" t="s">
        <v>16</v>
      </c>
      <c r="H17" s="22" t="s">
        <v>16</v>
      </c>
      <c r="I17" s="23" t="s">
        <v>16</v>
      </c>
      <c r="J17" s="22" t="s">
        <v>16</v>
      </c>
      <c r="K17" s="23" t="s">
        <v>16</v>
      </c>
      <c r="L17" s="48" t="s">
        <v>16</v>
      </c>
      <c r="M17" s="23" t="s">
        <v>16</v>
      </c>
      <c r="N17" s="1"/>
      <c r="O17" s="25" t="str">
        <f>IFERROR(((#REF!+#REF!/60)-(#REF!+#REF!/60))+((#REF!+#REF!/60)-(#REF!+#REF!/60)), "-")</f>
        <v>-</v>
      </c>
      <c r="P17" s="26">
        <f t="shared" ref="P17:P47" si="6">IFERROR(IF(O17-$B$7&gt;0,O17-$B$7, 0),0)</f>
        <v>0</v>
      </c>
      <c r="Q17" s="27" t="str">
        <f t="shared" si="2"/>
        <v>-</v>
      </c>
      <c r="R17" s="1"/>
      <c r="S17" s="13" t="str">
        <f>IFERROR(#REF!, "-")</f>
        <v>-</v>
      </c>
      <c r="T17" s="14" t="str">
        <f>IFERROR(#REF!, "-")</f>
        <v>-</v>
      </c>
      <c r="U17" s="13" t="str">
        <f t="shared" si="4"/>
        <v>-</v>
      </c>
      <c r="V17" s="14" t="str">
        <f t="shared" si="5"/>
        <v>-</v>
      </c>
    </row>
    <row r="18" spans="4:25" x14ac:dyDescent="0.2">
      <c r="D18" s="20">
        <v>44087</v>
      </c>
      <c r="E18" s="30"/>
      <c r="F18" s="22" t="s">
        <v>16</v>
      </c>
      <c r="G18" s="23" t="s">
        <v>16</v>
      </c>
      <c r="H18" s="22" t="s">
        <v>16</v>
      </c>
      <c r="I18" s="23" t="s">
        <v>16</v>
      </c>
      <c r="J18" s="22" t="s">
        <v>16</v>
      </c>
      <c r="K18" s="23" t="s">
        <v>16</v>
      </c>
      <c r="L18" s="48" t="s">
        <v>16</v>
      </c>
      <c r="M18" s="23" t="s">
        <v>16</v>
      </c>
      <c r="N18" s="1"/>
      <c r="O18" s="25" t="str">
        <f>IFERROR(((H17+I17/60)-(F17+G17/60))+((L17+M17/60)-(J17+K17/60)), "-")</f>
        <v>-</v>
      </c>
      <c r="P18" s="26">
        <f t="shared" si="6"/>
        <v>0</v>
      </c>
      <c r="Q18" s="27" t="str">
        <f t="shared" si="2"/>
        <v>-</v>
      </c>
      <c r="R18" s="1"/>
      <c r="S18" s="13" t="str">
        <f>IFERROR(F17, "-")</f>
        <v>-</v>
      </c>
      <c r="T18" s="14" t="str">
        <f>IFERROR(G17, "-")</f>
        <v>-</v>
      </c>
      <c r="U18" s="13" t="str">
        <f t="shared" si="4"/>
        <v>-</v>
      </c>
      <c r="V18" s="14" t="str">
        <f t="shared" si="5"/>
        <v>-</v>
      </c>
    </row>
    <row r="19" spans="4:25" x14ac:dyDescent="0.2">
      <c r="D19" s="20">
        <v>44088</v>
      </c>
      <c r="E19" s="30"/>
      <c r="F19" s="13">
        <v>10</v>
      </c>
      <c r="G19" s="14">
        <v>41</v>
      </c>
      <c r="H19" s="13">
        <v>19</v>
      </c>
      <c r="I19" s="14">
        <v>5</v>
      </c>
      <c r="J19" s="13">
        <v>0</v>
      </c>
      <c r="K19" s="14">
        <v>0</v>
      </c>
      <c r="L19" s="57">
        <v>0</v>
      </c>
      <c r="M19" s="14">
        <v>0</v>
      </c>
      <c r="N19" s="1"/>
      <c r="O19" s="25">
        <f>IFERROR(((H19+I19/60)-(F19+G19/60))+((L19+M19/60)-(J19+K19/60)), "-")</f>
        <v>8.3999999999999986</v>
      </c>
      <c r="P19" s="26">
        <f>IFERROR(IF(O19-$B$7&gt;0,O19-$B$7, 0),0)</f>
        <v>7.6999999999999984</v>
      </c>
      <c r="Q19" s="27">
        <f>IFERROR(IF(P19-$B$4&gt;-7,P19-$B$4, "-"),0)</f>
        <v>0.6999999999999984</v>
      </c>
      <c r="R19" s="1"/>
      <c r="S19" s="13">
        <f>IFERROR(F19, "-")</f>
        <v>10</v>
      </c>
      <c r="T19" s="14">
        <f>IFERROR(G19, "-")</f>
        <v>41</v>
      </c>
      <c r="U19" s="13">
        <f t="shared" si="4"/>
        <v>19</v>
      </c>
      <c r="V19" s="14">
        <f t="shared" si="5"/>
        <v>4.9999999999999289</v>
      </c>
    </row>
    <row r="20" spans="4:25" x14ac:dyDescent="0.2">
      <c r="D20" s="20">
        <v>44089</v>
      </c>
      <c r="E20" s="30"/>
      <c r="F20" s="13">
        <v>9</v>
      </c>
      <c r="G20" s="14">
        <v>39</v>
      </c>
      <c r="H20" s="13">
        <v>18</v>
      </c>
      <c r="I20" s="14">
        <v>50.5</v>
      </c>
      <c r="J20" s="13">
        <v>0</v>
      </c>
      <c r="K20" s="14">
        <v>0</v>
      </c>
      <c r="L20" s="49">
        <v>0</v>
      </c>
      <c r="M20" s="14">
        <v>0</v>
      </c>
      <c r="N20" s="1"/>
      <c r="O20" s="25">
        <f t="shared" si="1"/>
        <v>9.1916666666666647</v>
      </c>
      <c r="P20" s="26">
        <f t="shared" si="6"/>
        <v>8.4916666666666654</v>
      </c>
      <c r="Q20" s="27">
        <f t="shared" si="2"/>
        <v>1.4916666666666654</v>
      </c>
      <c r="R20" s="1"/>
      <c r="S20" s="13">
        <f t="shared" si="3"/>
        <v>9</v>
      </c>
      <c r="T20" s="14">
        <f t="shared" si="3"/>
        <v>39</v>
      </c>
      <c r="U20" s="13">
        <f t="shared" si="4"/>
        <v>18</v>
      </c>
      <c r="V20" s="14">
        <f t="shared" si="5"/>
        <v>50.499999999999901</v>
      </c>
    </row>
    <row r="21" spans="4:25" x14ac:dyDescent="0.2">
      <c r="D21" s="20">
        <v>44090</v>
      </c>
      <c r="E21" s="30"/>
      <c r="F21" s="13">
        <v>7</v>
      </c>
      <c r="G21" s="14">
        <v>50</v>
      </c>
      <c r="H21" s="13">
        <v>18</v>
      </c>
      <c r="I21" s="14">
        <v>32</v>
      </c>
      <c r="J21" s="13">
        <v>0</v>
      </c>
      <c r="K21" s="14">
        <v>0</v>
      </c>
      <c r="L21" s="49">
        <v>0</v>
      </c>
      <c r="M21" s="14">
        <v>0</v>
      </c>
      <c r="N21" s="1"/>
      <c r="O21" s="25">
        <f t="shared" si="1"/>
        <v>10.700000000000003</v>
      </c>
      <c r="P21" s="26">
        <f t="shared" si="6"/>
        <v>10.000000000000004</v>
      </c>
      <c r="Q21" s="27">
        <f t="shared" si="2"/>
        <v>3.0000000000000036</v>
      </c>
      <c r="R21" s="1"/>
      <c r="S21" s="13">
        <f t="shared" si="3"/>
        <v>7</v>
      </c>
      <c r="T21" s="14">
        <f t="shared" si="3"/>
        <v>50</v>
      </c>
      <c r="U21" s="13">
        <f t="shared" si="4"/>
        <v>18</v>
      </c>
      <c r="V21" s="14">
        <f t="shared" si="5"/>
        <v>32.000000000000099</v>
      </c>
    </row>
    <row r="22" spans="4:25" ht="13.5" thickBot="1" x14ac:dyDescent="0.25">
      <c r="D22" s="20">
        <v>44091</v>
      </c>
      <c r="E22" s="30"/>
      <c r="F22" s="13">
        <v>8</v>
      </c>
      <c r="G22" s="14">
        <v>31</v>
      </c>
      <c r="H22" s="13">
        <v>18</v>
      </c>
      <c r="I22" s="14">
        <v>30</v>
      </c>
      <c r="J22" s="13">
        <v>0</v>
      </c>
      <c r="K22" s="14">
        <v>0</v>
      </c>
      <c r="L22" s="49">
        <v>0</v>
      </c>
      <c r="M22" s="14">
        <v>0</v>
      </c>
      <c r="N22" s="1"/>
      <c r="O22" s="25">
        <f t="shared" si="1"/>
        <v>9.9833333333333325</v>
      </c>
      <c r="P22" s="26">
        <f t="shared" si="6"/>
        <v>9.2833333333333332</v>
      </c>
      <c r="Q22" s="27">
        <f t="shared" si="2"/>
        <v>2.2833333333333332</v>
      </c>
      <c r="R22" s="1"/>
      <c r="S22" s="13">
        <f t="shared" si="3"/>
        <v>8</v>
      </c>
      <c r="T22" s="14">
        <f t="shared" si="3"/>
        <v>31</v>
      </c>
      <c r="U22" s="13">
        <f t="shared" si="4"/>
        <v>18</v>
      </c>
      <c r="V22" s="14">
        <f t="shared" si="5"/>
        <v>30</v>
      </c>
    </row>
    <row r="23" spans="4:25" ht="13.5" thickBot="1" x14ac:dyDescent="0.25">
      <c r="D23" s="20">
        <v>44092</v>
      </c>
      <c r="E23" s="30"/>
      <c r="F23" s="13">
        <v>7</v>
      </c>
      <c r="G23" s="14">
        <v>48</v>
      </c>
      <c r="H23" s="13">
        <v>13</v>
      </c>
      <c r="I23" s="14">
        <v>52</v>
      </c>
      <c r="J23" s="13">
        <v>0</v>
      </c>
      <c r="K23" s="14">
        <v>0</v>
      </c>
      <c r="L23" s="49">
        <v>0</v>
      </c>
      <c r="M23" s="24">
        <v>0</v>
      </c>
      <c r="N23" s="1"/>
      <c r="O23" s="25">
        <f t="shared" si="1"/>
        <v>6.0666666666666673</v>
      </c>
      <c r="P23" s="26">
        <f t="shared" si="6"/>
        <v>5.3666666666666671</v>
      </c>
      <c r="Q23" s="27">
        <f t="shared" si="2"/>
        <v>-1.6333333333333329</v>
      </c>
      <c r="R23" s="1"/>
      <c r="S23" s="13">
        <f t="shared" si="3"/>
        <v>7</v>
      </c>
      <c r="T23" s="14">
        <f t="shared" si="3"/>
        <v>48</v>
      </c>
      <c r="U23" s="13">
        <f t="shared" si="4"/>
        <v>13</v>
      </c>
      <c r="V23" s="14">
        <f t="shared" si="5"/>
        <v>52.000000000000028</v>
      </c>
      <c r="Y23" s="31"/>
    </row>
    <row r="24" spans="4:25" ht="13.5" thickBot="1" x14ac:dyDescent="0.25">
      <c r="D24" s="20">
        <v>44093</v>
      </c>
      <c r="E24" s="30"/>
      <c r="F24" s="13" t="s">
        <v>16</v>
      </c>
      <c r="G24" s="14" t="s">
        <v>16</v>
      </c>
      <c r="H24" s="13" t="s">
        <v>16</v>
      </c>
      <c r="I24" s="14" t="s">
        <v>16</v>
      </c>
      <c r="J24" s="13" t="s">
        <v>16</v>
      </c>
      <c r="K24" s="14" t="s">
        <v>16</v>
      </c>
      <c r="L24" s="49" t="s">
        <v>16</v>
      </c>
      <c r="M24" s="14" t="s">
        <v>16</v>
      </c>
      <c r="N24" s="1"/>
      <c r="O24" s="25" t="str">
        <f>IFERROR(((#REF!+#REF!/60)-(#REF!+#REF!/60))+((#REF!+#REF!/60)-(#REF!+#REF!/60)), "-")</f>
        <v>-</v>
      </c>
      <c r="P24" s="26">
        <f t="shared" si="6"/>
        <v>0</v>
      </c>
      <c r="Q24" s="27" t="str">
        <f t="shared" si="2"/>
        <v>-</v>
      </c>
      <c r="R24" s="1"/>
      <c r="S24" s="13" t="str">
        <f>IFERROR(#REF!, "-")</f>
        <v>-</v>
      </c>
      <c r="T24" s="14" t="str">
        <f>IFERROR(#REF!, "-")</f>
        <v>-</v>
      </c>
      <c r="U24" s="13" t="str">
        <f t="shared" si="4"/>
        <v>-</v>
      </c>
      <c r="V24" s="14" t="str">
        <f t="shared" si="5"/>
        <v>-</v>
      </c>
    </row>
    <row r="25" spans="4:25" ht="13.5" thickBot="1" x14ac:dyDescent="0.25">
      <c r="D25" s="20">
        <v>44094</v>
      </c>
      <c r="E25" s="30"/>
      <c r="F25" s="13" t="s">
        <v>16</v>
      </c>
      <c r="G25" s="14" t="s">
        <v>16</v>
      </c>
      <c r="H25" s="13" t="s">
        <v>16</v>
      </c>
      <c r="I25" s="14" t="s">
        <v>16</v>
      </c>
      <c r="J25" s="13" t="s">
        <v>16</v>
      </c>
      <c r="K25" s="14" t="s">
        <v>16</v>
      </c>
      <c r="L25" s="49" t="s">
        <v>16</v>
      </c>
      <c r="M25" s="14" t="s">
        <v>16</v>
      </c>
      <c r="N25" s="1"/>
      <c r="O25" s="25" t="str">
        <f>IFERROR(((H25+I25/60)-(F25+G25/60))+((L25+M25/60)-(J25+K25/60)), "-")</f>
        <v>-</v>
      </c>
      <c r="P25" s="26">
        <f t="shared" si="6"/>
        <v>0</v>
      </c>
      <c r="Q25" s="27" t="str">
        <f t="shared" si="2"/>
        <v>-</v>
      </c>
      <c r="R25" s="1"/>
      <c r="S25" s="13" t="str">
        <f>IFERROR(F24, "-")</f>
        <v>-</v>
      </c>
      <c r="T25" s="14" t="str">
        <f>IFERROR(G24, "-")</f>
        <v>-</v>
      </c>
      <c r="U25" s="13" t="str">
        <f t="shared" si="4"/>
        <v>-</v>
      </c>
      <c r="V25" s="14" t="str">
        <f t="shared" si="5"/>
        <v>-</v>
      </c>
      <c r="X25" s="31"/>
    </row>
    <row r="26" spans="4:25" x14ac:dyDescent="0.2">
      <c r="D26" s="20">
        <v>44095</v>
      </c>
      <c r="E26" s="30"/>
      <c r="F26" s="13"/>
      <c r="G26" s="14"/>
      <c r="H26" s="13"/>
      <c r="I26" s="14"/>
      <c r="J26" s="13"/>
      <c r="K26" s="14"/>
      <c r="L26" s="49"/>
      <c r="M26" s="14"/>
      <c r="N26" s="1"/>
      <c r="O26" s="25">
        <f>IFERROR(((H26+I26/60)-(F26+G26/60))+((L26+M26/60)-(J26+K26/60)), "-")</f>
        <v>0</v>
      </c>
      <c r="P26" s="26">
        <f t="shared" si="6"/>
        <v>0</v>
      </c>
      <c r="Q26" s="27" t="str">
        <f t="shared" si="2"/>
        <v>-</v>
      </c>
      <c r="R26" s="1"/>
      <c r="S26" s="13" t="str">
        <f>IFERROR(F25, "-")</f>
        <v>-</v>
      </c>
      <c r="T26" s="14" t="str">
        <f>IFERROR(G25, "-")</f>
        <v>-</v>
      </c>
      <c r="U26" s="13" t="str">
        <f t="shared" si="4"/>
        <v>-</v>
      </c>
      <c r="V26" s="14" t="str">
        <f t="shared" si="5"/>
        <v>-</v>
      </c>
    </row>
    <row r="27" spans="4:25" x14ac:dyDescent="0.2">
      <c r="D27" s="20">
        <v>44096</v>
      </c>
      <c r="E27" s="30"/>
      <c r="F27" s="13"/>
      <c r="G27" s="14"/>
      <c r="H27" s="13"/>
      <c r="I27" s="14"/>
      <c r="J27" s="13"/>
      <c r="K27" s="14"/>
      <c r="L27" s="49"/>
      <c r="M27" s="14"/>
      <c r="N27" s="1"/>
      <c r="O27" s="25">
        <f>IFERROR(((H27+I27/60)-(F27+G27/60))+((L27+M27/60)-(J27+K27/60)), "-")</f>
        <v>0</v>
      </c>
      <c r="P27" s="26">
        <f t="shared" si="6"/>
        <v>0</v>
      </c>
      <c r="Q27" s="27" t="str">
        <f t="shared" si="2"/>
        <v>-</v>
      </c>
      <c r="R27" s="1"/>
      <c r="S27" s="13">
        <f t="shared" si="3"/>
        <v>0</v>
      </c>
      <c r="T27" s="14">
        <f t="shared" si="3"/>
        <v>0</v>
      </c>
      <c r="U27" s="13">
        <f t="shared" si="4"/>
        <v>0</v>
      </c>
      <c r="V27" s="14">
        <f t="shared" si="5"/>
        <v>0</v>
      </c>
    </row>
    <row r="28" spans="4:25" x14ac:dyDescent="0.2">
      <c r="D28" s="20">
        <v>44097</v>
      </c>
      <c r="E28" s="30"/>
      <c r="F28" s="13"/>
      <c r="G28" s="14"/>
      <c r="H28" s="13"/>
      <c r="I28" s="14"/>
      <c r="J28" s="13"/>
      <c r="K28" s="14"/>
      <c r="L28" s="49"/>
      <c r="M28" s="14"/>
      <c r="N28" s="1"/>
      <c r="O28" s="25">
        <f t="shared" si="1"/>
        <v>0</v>
      </c>
      <c r="P28" s="26">
        <f t="shared" si="6"/>
        <v>0</v>
      </c>
      <c r="Q28" s="27" t="str">
        <f t="shared" si="2"/>
        <v>-</v>
      </c>
      <c r="R28" s="1"/>
      <c r="S28" s="13">
        <f t="shared" si="3"/>
        <v>0</v>
      </c>
      <c r="T28" s="14">
        <f t="shared" si="3"/>
        <v>0</v>
      </c>
      <c r="U28" s="13">
        <f t="shared" si="4"/>
        <v>0</v>
      </c>
      <c r="V28" s="14">
        <f t="shared" si="5"/>
        <v>0</v>
      </c>
    </row>
    <row r="29" spans="4:25" x14ac:dyDescent="0.2">
      <c r="D29" s="20">
        <v>44098</v>
      </c>
      <c r="E29" s="30"/>
      <c r="F29" s="13"/>
      <c r="G29" s="14"/>
      <c r="H29" s="13"/>
      <c r="I29" s="14"/>
      <c r="J29" s="13"/>
      <c r="K29" s="14"/>
      <c r="L29" s="49"/>
      <c r="M29" s="14"/>
      <c r="N29" s="1"/>
      <c r="O29" s="25">
        <f t="shared" si="1"/>
        <v>0</v>
      </c>
      <c r="P29" s="26">
        <f t="shared" si="6"/>
        <v>0</v>
      </c>
      <c r="Q29" s="27" t="str">
        <f t="shared" si="2"/>
        <v>-</v>
      </c>
      <c r="R29" s="1"/>
      <c r="S29" s="13">
        <f t="shared" si="3"/>
        <v>0</v>
      </c>
      <c r="T29" s="14">
        <f t="shared" si="3"/>
        <v>0</v>
      </c>
      <c r="U29" s="13">
        <f t="shared" si="4"/>
        <v>0</v>
      </c>
      <c r="V29" s="14">
        <f t="shared" si="5"/>
        <v>0</v>
      </c>
    </row>
    <row r="30" spans="4:25" x14ac:dyDescent="0.2">
      <c r="D30" s="20">
        <v>44099</v>
      </c>
      <c r="E30" s="30"/>
      <c r="F30" s="13"/>
      <c r="G30" s="14"/>
      <c r="H30" s="13"/>
      <c r="I30" s="14"/>
      <c r="J30" s="13"/>
      <c r="K30" s="14"/>
      <c r="L30" s="49"/>
      <c r="M30" s="14"/>
      <c r="N30" s="1"/>
      <c r="O30" s="25">
        <f t="shared" si="1"/>
        <v>0</v>
      </c>
      <c r="P30" s="26">
        <f t="shared" si="6"/>
        <v>0</v>
      </c>
      <c r="Q30" s="27" t="str">
        <f t="shared" si="2"/>
        <v>-</v>
      </c>
      <c r="R30" s="1"/>
      <c r="S30" s="13">
        <f t="shared" si="3"/>
        <v>0</v>
      </c>
      <c r="T30" s="14">
        <f t="shared" si="3"/>
        <v>0</v>
      </c>
      <c r="U30" s="13">
        <f t="shared" si="4"/>
        <v>0</v>
      </c>
      <c r="V30" s="14">
        <f t="shared" si="5"/>
        <v>0</v>
      </c>
    </row>
    <row r="31" spans="4:25" x14ac:dyDescent="0.2">
      <c r="D31" s="20">
        <v>44100</v>
      </c>
      <c r="E31" s="30"/>
      <c r="F31" s="13" t="s">
        <v>16</v>
      </c>
      <c r="G31" s="14" t="s">
        <v>16</v>
      </c>
      <c r="H31" s="13" t="s">
        <v>16</v>
      </c>
      <c r="I31" s="14" t="s">
        <v>16</v>
      </c>
      <c r="J31" s="13" t="s">
        <v>16</v>
      </c>
      <c r="K31" s="14" t="s">
        <v>16</v>
      </c>
      <c r="L31" s="49" t="s">
        <v>16</v>
      </c>
      <c r="M31" s="14" t="s">
        <v>16</v>
      </c>
      <c r="N31" s="1"/>
      <c r="O31" s="25" t="str">
        <f t="shared" si="1"/>
        <v>-</v>
      </c>
      <c r="P31" s="26">
        <f t="shared" si="6"/>
        <v>0</v>
      </c>
      <c r="Q31" s="27" t="str">
        <f t="shared" si="2"/>
        <v>-</v>
      </c>
      <c r="R31" s="1"/>
      <c r="S31" s="13" t="str">
        <f t="shared" si="3"/>
        <v>-</v>
      </c>
      <c r="T31" s="14" t="str">
        <f t="shared" si="3"/>
        <v>-</v>
      </c>
      <c r="U31" s="13" t="str">
        <f t="shared" si="4"/>
        <v>-</v>
      </c>
      <c r="V31" s="14" t="str">
        <f t="shared" si="5"/>
        <v>-</v>
      </c>
    </row>
    <row r="32" spans="4:25" x14ac:dyDescent="0.2">
      <c r="D32" s="20">
        <v>44101</v>
      </c>
      <c r="E32" s="30"/>
      <c r="F32" s="13" t="s">
        <v>16</v>
      </c>
      <c r="G32" s="14" t="s">
        <v>16</v>
      </c>
      <c r="H32" s="13" t="s">
        <v>16</v>
      </c>
      <c r="I32" s="14" t="s">
        <v>16</v>
      </c>
      <c r="J32" s="13" t="s">
        <v>16</v>
      </c>
      <c r="K32" s="14" t="s">
        <v>16</v>
      </c>
      <c r="L32" s="49" t="s">
        <v>16</v>
      </c>
      <c r="M32" s="14" t="s">
        <v>16</v>
      </c>
      <c r="N32" s="1"/>
      <c r="O32" s="25" t="str">
        <f>IFERROR(((H32+I32/60)-(F32+G32/60))+((L32+M32/60)-(J32+K32/60)), "-")</f>
        <v>-</v>
      </c>
      <c r="P32" s="26">
        <f t="shared" si="6"/>
        <v>0</v>
      </c>
      <c r="Q32" s="27" t="str">
        <f t="shared" si="2"/>
        <v>-</v>
      </c>
      <c r="R32" s="1"/>
      <c r="S32" s="13" t="str">
        <f t="shared" si="3"/>
        <v>-</v>
      </c>
      <c r="T32" s="14" t="str">
        <f t="shared" si="3"/>
        <v>-</v>
      </c>
      <c r="U32" s="13" t="str">
        <f t="shared" si="4"/>
        <v>-</v>
      </c>
      <c r="V32" s="14" t="str">
        <f t="shared" si="5"/>
        <v>-</v>
      </c>
    </row>
    <row r="33" spans="4:22" x14ac:dyDescent="0.2">
      <c r="D33" s="20">
        <v>44102</v>
      </c>
      <c r="E33" s="30"/>
      <c r="F33" s="13">
        <v>19</v>
      </c>
      <c r="G33" s="14">
        <v>45</v>
      </c>
      <c r="H33" s="13">
        <v>19</v>
      </c>
      <c r="I33" s="14">
        <v>52</v>
      </c>
      <c r="J33" s="13">
        <v>0</v>
      </c>
      <c r="K33" s="14">
        <v>0</v>
      </c>
      <c r="L33" s="49">
        <v>0</v>
      </c>
      <c r="M33" s="14">
        <v>0</v>
      </c>
      <c r="N33" s="1"/>
      <c r="O33" s="25">
        <f t="shared" si="1"/>
        <v>0.11666666666666714</v>
      </c>
      <c r="P33" s="26">
        <f>IFERROR(IF(O33-$B$7&gt;0,O33-$B$7, 0),0)</f>
        <v>0</v>
      </c>
      <c r="Q33" s="27" t="str">
        <f>IFERROR(IF(P33-$B$4&gt;-7,P33-$B$4, "-"),0)</f>
        <v>-</v>
      </c>
      <c r="R33" s="1"/>
      <c r="S33" s="13">
        <f t="shared" si="3"/>
        <v>19</v>
      </c>
      <c r="T33" s="14">
        <f t="shared" si="3"/>
        <v>45</v>
      </c>
      <c r="U33" s="13">
        <f t="shared" si="4"/>
        <v>19</v>
      </c>
      <c r="V33" s="14">
        <f t="shared" si="5"/>
        <v>52.000000000000028</v>
      </c>
    </row>
    <row r="34" spans="4:22" x14ac:dyDescent="0.2">
      <c r="D34" s="20">
        <v>44103</v>
      </c>
      <c r="E34" s="30"/>
      <c r="F34" s="13"/>
      <c r="G34" s="14"/>
      <c r="H34" s="13"/>
      <c r="I34" s="14"/>
      <c r="J34" s="13"/>
      <c r="K34" s="14"/>
      <c r="L34" s="49"/>
      <c r="M34" s="14"/>
      <c r="N34" s="1"/>
      <c r="O34" s="25">
        <f t="shared" si="1"/>
        <v>0</v>
      </c>
      <c r="P34" s="26">
        <f t="shared" si="6"/>
        <v>0</v>
      </c>
      <c r="Q34" s="27" t="str">
        <f t="shared" si="2"/>
        <v>-</v>
      </c>
      <c r="R34" s="1"/>
      <c r="S34" s="13">
        <f t="shared" si="3"/>
        <v>0</v>
      </c>
      <c r="T34" s="14">
        <f t="shared" si="3"/>
        <v>0</v>
      </c>
      <c r="U34" s="13">
        <f t="shared" si="4"/>
        <v>0</v>
      </c>
      <c r="V34" s="14">
        <f t="shared" si="5"/>
        <v>0</v>
      </c>
    </row>
    <row r="35" spans="4:22" x14ac:dyDescent="0.2">
      <c r="D35" s="20">
        <v>44104</v>
      </c>
      <c r="E35" s="30"/>
      <c r="F35" s="13">
        <v>10</v>
      </c>
      <c r="G35" s="14">
        <v>22</v>
      </c>
      <c r="H35" s="13">
        <v>18</v>
      </c>
      <c r="I35" s="14">
        <v>51</v>
      </c>
      <c r="J35" s="13">
        <v>0</v>
      </c>
      <c r="K35" s="14">
        <v>0</v>
      </c>
      <c r="L35" s="49">
        <v>0</v>
      </c>
      <c r="M35" s="14">
        <v>0</v>
      </c>
      <c r="N35" s="1"/>
      <c r="O35" s="25">
        <f t="shared" si="1"/>
        <v>8.4833333333333343</v>
      </c>
      <c r="P35" s="26">
        <f t="shared" si="6"/>
        <v>7.7833333333333341</v>
      </c>
      <c r="Q35" s="27">
        <f t="shared" si="2"/>
        <v>0.7833333333333341</v>
      </c>
      <c r="R35" s="1"/>
      <c r="S35" s="13">
        <f t="shared" si="3"/>
        <v>10</v>
      </c>
      <c r="T35" s="14">
        <f t="shared" si="3"/>
        <v>22</v>
      </c>
      <c r="U35" s="13">
        <f t="shared" si="4"/>
        <v>18</v>
      </c>
      <c r="V35" s="14">
        <f t="shared" si="5"/>
        <v>51.000000000000085</v>
      </c>
    </row>
    <row r="36" spans="4:22" x14ac:dyDescent="0.2">
      <c r="D36" s="21"/>
      <c r="E36" s="30"/>
      <c r="F36" s="13"/>
      <c r="G36" s="14"/>
      <c r="H36" s="13"/>
      <c r="I36" s="14"/>
      <c r="J36" s="13"/>
      <c r="K36" s="14"/>
      <c r="L36" s="49"/>
      <c r="M36" s="14"/>
      <c r="N36" s="1"/>
      <c r="O36" s="25">
        <f t="shared" si="1"/>
        <v>0</v>
      </c>
      <c r="P36" s="26">
        <f t="shared" si="6"/>
        <v>0</v>
      </c>
      <c r="Q36" s="27" t="str">
        <f t="shared" si="2"/>
        <v>-</v>
      </c>
      <c r="R36" s="1"/>
      <c r="S36" s="13">
        <f t="shared" si="3"/>
        <v>0</v>
      </c>
      <c r="T36" s="14">
        <f t="shared" si="3"/>
        <v>0</v>
      </c>
      <c r="U36" s="13">
        <f t="shared" si="4"/>
        <v>0</v>
      </c>
      <c r="V36" s="14">
        <f t="shared" si="5"/>
        <v>0</v>
      </c>
    </row>
    <row r="37" spans="4:22" x14ac:dyDescent="0.2">
      <c r="D37" s="21"/>
      <c r="E37" s="28"/>
      <c r="F37" s="13"/>
      <c r="G37" s="14"/>
      <c r="H37" s="13"/>
      <c r="I37" s="14"/>
      <c r="J37" s="13"/>
      <c r="K37" s="14"/>
      <c r="L37" s="49"/>
      <c r="M37" s="14"/>
      <c r="N37" s="1"/>
      <c r="O37" s="25">
        <f t="shared" si="1"/>
        <v>0</v>
      </c>
      <c r="P37" s="26">
        <f t="shared" si="6"/>
        <v>0</v>
      </c>
      <c r="Q37" s="27" t="str">
        <f t="shared" si="2"/>
        <v>-</v>
      </c>
      <c r="R37" s="1"/>
      <c r="S37" s="13">
        <f t="shared" si="3"/>
        <v>0</v>
      </c>
      <c r="T37" s="14">
        <f t="shared" si="3"/>
        <v>0</v>
      </c>
      <c r="U37" s="13">
        <f t="shared" si="4"/>
        <v>0</v>
      </c>
      <c r="V37" s="14">
        <f t="shared" si="5"/>
        <v>0</v>
      </c>
    </row>
    <row r="38" spans="4:22" x14ac:dyDescent="0.2">
      <c r="D38" s="21"/>
      <c r="E38" s="28"/>
      <c r="F38" s="13"/>
      <c r="G38" s="14"/>
      <c r="H38" s="13"/>
      <c r="I38" s="14"/>
      <c r="J38" s="13"/>
      <c r="K38" s="14"/>
      <c r="L38" s="49"/>
      <c r="M38" s="14"/>
      <c r="N38" s="1"/>
      <c r="O38" s="25">
        <f t="shared" si="1"/>
        <v>0</v>
      </c>
      <c r="P38" s="26">
        <f t="shared" si="6"/>
        <v>0</v>
      </c>
      <c r="Q38" s="27" t="str">
        <f t="shared" si="2"/>
        <v>-</v>
      </c>
      <c r="R38" s="1"/>
      <c r="S38" s="13">
        <f t="shared" si="3"/>
        <v>0</v>
      </c>
      <c r="T38" s="14">
        <f t="shared" si="3"/>
        <v>0</v>
      </c>
      <c r="U38" s="13">
        <f t="shared" si="4"/>
        <v>0</v>
      </c>
      <c r="V38" s="14">
        <f t="shared" si="5"/>
        <v>0</v>
      </c>
    </row>
    <row r="39" spans="4:22" x14ac:dyDescent="0.2">
      <c r="D39" s="21"/>
      <c r="E39" s="28"/>
      <c r="F39" s="13"/>
      <c r="G39" s="14"/>
      <c r="H39" s="13"/>
      <c r="I39" s="14"/>
      <c r="J39" s="13"/>
      <c r="K39" s="14"/>
      <c r="L39" s="49"/>
      <c r="M39" s="14"/>
      <c r="N39" s="1"/>
      <c r="O39" s="25">
        <f t="shared" si="1"/>
        <v>0</v>
      </c>
      <c r="P39" s="26">
        <f t="shared" si="6"/>
        <v>0</v>
      </c>
      <c r="Q39" s="27" t="str">
        <f t="shared" si="2"/>
        <v>-</v>
      </c>
      <c r="R39" s="1"/>
      <c r="S39" s="13">
        <f t="shared" si="3"/>
        <v>0</v>
      </c>
      <c r="T39" s="14">
        <f t="shared" si="3"/>
        <v>0</v>
      </c>
      <c r="U39" s="13">
        <f t="shared" si="4"/>
        <v>0</v>
      </c>
      <c r="V39" s="14">
        <f t="shared" si="5"/>
        <v>0</v>
      </c>
    </row>
    <row r="40" spans="4:22" x14ac:dyDescent="0.2">
      <c r="D40" s="21"/>
      <c r="E40" s="28"/>
      <c r="F40" s="13"/>
      <c r="G40" s="14"/>
      <c r="H40" s="13"/>
      <c r="I40" s="14"/>
      <c r="J40" s="13"/>
      <c r="K40" s="14"/>
      <c r="L40" s="49"/>
      <c r="M40" s="14"/>
      <c r="N40" s="1"/>
      <c r="O40" s="25">
        <f t="shared" si="1"/>
        <v>0</v>
      </c>
      <c r="P40" s="26">
        <f t="shared" si="6"/>
        <v>0</v>
      </c>
      <c r="Q40" s="27" t="str">
        <f t="shared" si="2"/>
        <v>-</v>
      </c>
      <c r="R40" s="1"/>
      <c r="S40" s="13">
        <f t="shared" si="3"/>
        <v>0</v>
      </c>
      <c r="T40" s="14">
        <f t="shared" si="3"/>
        <v>0</v>
      </c>
      <c r="U40" s="13">
        <f t="shared" si="4"/>
        <v>0</v>
      </c>
      <c r="V40" s="14">
        <f t="shared" si="5"/>
        <v>0</v>
      </c>
    </row>
    <row r="41" spans="4:22" x14ac:dyDescent="0.2">
      <c r="D41" s="21"/>
      <c r="E41" s="28"/>
      <c r="F41" s="13"/>
      <c r="G41" s="14"/>
      <c r="H41" s="13"/>
      <c r="I41" s="14"/>
      <c r="J41" s="13"/>
      <c r="K41" s="14"/>
      <c r="L41" s="49"/>
      <c r="M41" s="14"/>
      <c r="N41" s="1"/>
      <c r="O41" s="25">
        <f t="shared" si="1"/>
        <v>0</v>
      </c>
      <c r="P41" s="26">
        <f t="shared" si="6"/>
        <v>0</v>
      </c>
      <c r="Q41" s="27" t="str">
        <f t="shared" si="2"/>
        <v>-</v>
      </c>
      <c r="R41" s="1"/>
      <c r="S41" s="13">
        <f t="shared" si="3"/>
        <v>0</v>
      </c>
      <c r="T41" s="14">
        <f t="shared" si="3"/>
        <v>0</v>
      </c>
      <c r="U41" s="13">
        <f t="shared" si="4"/>
        <v>0</v>
      </c>
      <c r="V41" s="14">
        <f t="shared" si="5"/>
        <v>0</v>
      </c>
    </row>
    <row r="42" spans="4:22" x14ac:dyDescent="0.2">
      <c r="D42" s="21"/>
      <c r="E42" s="28"/>
      <c r="F42" s="13"/>
      <c r="G42" s="14"/>
      <c r="H42" s="13"/>
      <c r="I42" s="14"/>
      <c r="J42" s="13"/>
      <c r="K42" s="14"/>
      <c r="L42" s="49"/>
      <c r="M42" s="14"/>
      <c r="N42" s="1"/>
      <c r="O42" s="25">
        <f t="shared" si="1"/>
        <v>0</v>
      </c>
      <c r="P42" s="26">
        <f t="shared" si="6"/>
        <v>0</v>
      </c>
      <c r="Q42" s="27" t="str">
        <f t="shared" si="2"/>
        <v>-</v>
      </c>
      <c r="R42" s="1"/>
      <c r="S42" s="13">
        <f t="shared" si="3"/>
        <v>0</v>
      </c>
      <c r="T42" s="14">
        <f t="shared" si="3"/>
        <v>0</v>
      </c>
      <c r="U42" s="13">
        <f t="shared" si="4"/>
        <v>0</v>
      </c>
      <c r="V42" s="14">
        <f t="shared" si="5"/>
        <v>0</v>
      </c>
    </row>
    <row r="43" spans="4:22" x14ac:dyDescent="0.2">
      <c r="D43" s="21"/>
      <c r="E43" s="28"/>
      <c r="F43" s="13"/>
      <c r="G43" s="14"/>
      <c r="H43" s="13"/>
      <c r="I43" s="14"/>
      <c r="J43" s="13"/>
      <c r="K43" s="14"/>
      <c r="L43" s="49"/>
      <c r="M43" s="14"/>
      <c r="N43" s="1"/>
      <c r="O43" s="25">
        <f t="shared" si="1"/>
        <v>0</v>
      </c>
      <c r="P43" s="26">
        <f t="shared" si="6"/>
        <v>0</v>
      </c>
      <c r="Q43" s="27" t="str">
        <f t="shared" si="2"/>
        <v>-</v>
      </c>
      <c r="R43" s="1"/>
      <c r="S43" s="13">
        <f t="shared" si="3"/>
        <v>0</v>
      </c>
      <c r="T43" s="14">
        <f t="shared" si="3"/>
        <v>0</v>
      </c>
      <c r="U43" s="13">
        <f t="shared" si="4"/>
        <v>0</v>
      </c>
      <c r="V43" s="14">
        <f t="shared" si="5"/>
        <v>0</v>
      </c>
    </row>
    <row r="44" spans="4:22" x14ac:dyDescent="0.2">
      <c r="D44" s="21"/>
      <c r="E44" s="28"/>
      <c r="F44" s="13"/>
      <c r="G44" s="14"/>
      <c r="H44" s="13"/>
      <c r="I44" s="14"/>
      <c r="J44" s="13"/>
      <c r="K44" s="14"/>
      <c r="L44" s="49"/>
      <c r="M44" s="14"/>
      <c r="N44" s="1"/>
      <c r="O44" s="25">
        <f t="shared" si="1"/>
        <v>0</v>
      </c>
      <c r="P44" s="26">
        <f t="shared" si="6"/>
        <v>0</v>
      </c>
      <c r="Q44" s="27" t="str">
        <f t="shared" si="2"/>
        <v>-</v>
      </c>
      <c r="R44" s="1"/>
      <c r="S44" s="13">
        <f t="shared" si="3"/>
        <v>0</v>
      </c>
      <c r="T44" s="14">
        <f t="shared" si="3"/>
        <v>0</v>
      </c>
      <c r="U44" s="13">
        <f t="shared" si="4"/>
        <v>0</v>
      </c>
      <c r="V44" s="14">
        <f t="shared" si="5"/>
        <v>0</v>
      </c>
    </row>
    <row r="45" spans="4:22" x14ac:dyDescent="0.2">
      <c r="D45" s="21"/>
      <c r="E45" s="28"/>
      <c r="F45" s="13"/>
      <c r="G45" s="14"/>
      <c r="H45" s="13"/>
      <c r="I45" s="14"/>
      <c r="J45" s="13"/>
      <c r="K45" s="14"/>
      <c r="L45" s="49"/>
      <c r="M45" s="14"/>
      <c r="N45" s="1"/>
      <c r="O45" s="25">
        <f t="shared" si="1"/>
        <v>0</v>
      </c>
      <c r="P45" s="26">
        <f t="shared" si="6"/>
        <v>0</v>
      </c>
      <c r="Q45" s="27" t="str">
        <f t="shared" si="2"/>
        <v>-</v>
      </c>
      <c r="R45" s="1"/>
      <c r="S45" s="13">
        <f t="shared" si="3"/>
        <v>0</v>
      </c>
      <c r="T45" s="14">
        <f t="shared" si="3"/>
        <v>0</v>
      </c>
      <c r="U45" s="13">
        <f t="shared" si="4"/>
        <v>0</v>
      </c>
      <c r="V45" s="14">
        <f t="shared" si="5"/>
        <v>0</v>
      </c>
    </row>
    <row r="46" spans="4:22" x14ac:dyDescent="0.2">
      <c r="D46" s="21"/>
      <c r="E46" s="28"/>
      <c r="F46" s="13"/>
      <c r="G46" s="14"/>
      <c r="H46" s="13"/>
      <c r="I46" s="14"/>
      <c r="J46" s="13"/>
      <c r="K46" s="14"/>
      <c r="L46" s="49"/>
      <c r="M46" s="14"/>
      <c r="N46" s="1"/>
      <c r="O46" s="25">
        <f t="shared" si="1"/>
        <v>0</v>
      </c>
      <c r="P46" s="26">
        <f t="shared" si="6"/>
        <v>0</v>
      </c>
      <c r="Q46" s="27" t="str">
        <f t="shared" si="2"/>
        <v>-</v>
      </c>
      <c r="R46" s="1"/>
      <c r="S46" s="13">
        <f t="shared" si="3"/>
        <v>0</v>
      </c>
      <c r="T46" s="14">
        <f t="shared" si="3"/>
        <v>0</v>
      </c>
      <c r="U46" s="13">
        <f t="shared" si="4"/>
        <v>0</v>
      </c>
      <c r="V46" s="14">
        <f t="shared" si="5"/>
        <v>0</v>
      </c>
    </row>
    <row r="47" spans="4:22" ht="13.5" thickBot="1" x14ac:dyDescent="0.25">
      <c r="D47" s="39"/>
      <c r="E47" s="28"/>
      <c r="F47" s="37"/>
      <c r="G47" s="38"/>
      <c r="H47" s="37"/>
      <c r="I47" s="38"/>
      <c r="J47" s="37"/>
      <c r="K47" s="38"/>
      <c r="L47" s="58"/>
      <c r="M47" s="38"/>
      <c r="N47" s="1"/>
      <c r="O47" s="35">
        <f t="shared" si="1"/>
        <v>0</v>
      </c>
      <c r="P47" s="44">
        <f t="shared" si="6"/>
        <v>0</v>
      </c>
      <c r="Q47" s="36" t="str">
        <f t="shared" si="2"/>
        <v>-</v>
      </c>
      <c r="R47" s="1"/>
      <c r="S47" s="37">
        <f t="shared" si="3"/>
        <v>0</v>
      </c>
      <c r="T47" s="38">
        <f t="shared" si="3"/>
        <v>0</v>
      </c>
      <c r="U47" s="37">
        <f t="shared" si="4"/>
        <v>0</v>
      </c>
      <c r="V47" s="38">
        <f t="shared" si="5"/>
        <v>0</v>
      </c>
    </row>
  </sheetData>
  <mergeCells count="11">
    <mergeCell ref="U4:V4"/>
    <mergeCell ref="D3:D5"/>
    <mergeCell ref="F3:I3"/>
    <mergeCell ref="J3:M3"/>
    <mergeCell ref="O3:Q4"/>
    <mergeCell ref="S3:V3"/>
    <mergeCell ref="F4:G4"/>
    <mergeCell ref="H4:I4"/>
    <mergeCell ref="J4:K4"/>
    <mergeCell ref="L4:M4"/>
    <mergeCell ref="S4:T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AE47"/>
  <sheetViews>
    <sheetView showGridLines="0" zoomScaleNormal="100" workbookViewId="0">
      <selection activeCell="P35" sqref="P35"/>
    </sheetView>
  </sheetViews>
  <sheetFormatPr defaultRowHeight="12.75" x14ac:dyDescent="0.2"/>
  <cols>
    <col min="2" max="2" width="22.140625" bestFit="1" customWidth="1"/>
    <col min="5" max="5" width="0.7109375" customWidth="1"/>
    <col min="6" max="6" width="8.140625" bestFit="1" customWidth="1"/>
    <col min="7" max="7" width="12.28515625" bestFit="1" customWidth="1"/>
    <col min="8" max="8" width="8.140625" bestFit="1" customWidth="1"/>
    <col min="9" max="9" width="12.28515625" bestFit="1" customWidth="1"/>
    <col min="10" max="10" width="8.140625" bestFit="1" customWidth="1"/>
    <col min="11" max="11" width="12.28515625" bestFit="1" customWidth="1"/>
    <col min="12" max="12" width="8.140625" bestFit="1" customWidth="1"/>
    <col min="13" max="13" width="12.28515625" bestFit="1" customWidth="1"/>
    <col min="14" max="14" width="0.85546875" customWidth="1"/>
    <col min="15" max="15" width="13.140625" bestFit="1" customWidth="1"/>
    <col min="16" max="16" width="16.28515625" customWidth="1"/>
    <col min="17" max="17" width="13.5703125" customWidth="1"/>
    <col min="18" max="18" width="0.85546875" customWidth="1"/>
    <col min="19" max="19" width="8.140625" bestFit="1" customWidth="1"/>
    <col min="20" max="20" width="12.28515625" bestFit="1" customWidth="1"/>
    <col min="21" max="21" width="8.140625" bestFit="1" customWidth="1"/>
    <col min="22" max="22" width="12.28515625" bestFit="1" customWidth="1"/>
    <col min="23" max="23" width="2.7109375" customWidth="1"/>
    <col min="24" max="24" width="3.7109375" customWidth="1"/>
    <col min="25" max="25" width="3.28515625" customWidth="1"/>
    <col min="26" max="26" width="4.85546875" customWidth="1"/>
    <col min="27" max="27" width="3" customWidth="1"/>
    <col min="28" max="28" width="4.28515625" customWidth="1"/>
    <col min="29" max="29" width="4.5703125" customWidth="1"/>
    <col min="30" max="30" width="5.140625" customWidth="1"/>
    <col min="31" max="31" width="5" customWidth="1"/>
  </cols>
  <sheetData>
    <row r="2" spans="2:26" ht="13.5" thickBot="1" x14ac:dyDescent="0.25"/>
    <row r="3" spans="2:26" ht="13.5" thickBot="1" x14ac:dyDescent="0.25">
      <c r="B3" s="4" t="s">
        <v>4</v>
      </c>
      <c r="D3" s="77" t="s">
        <v>0</v>
      </c>
      <c r="E3" s="28"/>
      <c r="F3" s="79" t="s">
        <v>14</v>
      </c>
      <c r="G3" s="80"/>
      <c r="H3" s="80"/>
      <c r="I3" s="81"/>
      <c r="J3" s="82" t="s">
        <v>13</v>
      </c>
      <c r="K3" s="83"/>
      <c r="L3" s="83"/>
      <c r="M3" s="84"/>
      <c r="N3" s="1"/>
      <c r="O3" s="85" t="s">
        <v>3</v>
      </c>
      <c r="P3" s="86"/>
      <c r="Q3" s="87"/>
      <c r="S3" s="91" t="s">
        <v>15</v>
      </c>
      <c r="T3" s="92"/>
      <c r="U3" s="92"/>
      <c r="V3" s="93"/>
    </row>
    <row r="4" spans="2:26" ht="13.5" thickBot="1" x14ac:dyDescent="0.25">
      <c r="B4" s="5">
        <v>7</v>
      </c>
      <c r="D4" s="78"/>
      <c r="E4" s="28"/>
      <c r="F4" s="94" t="s">
        <v>1</v>
      </c>
      <c r="G4" s="95"/>
      <c r="H4" s="75" t="s">
        <v>2</v>
      </c>
      <c r="I4" s="76"/>
      <c r="J4" s="94" t="s">
        <v>1</v>
      </c>
      <c r="K4" s="95"/>
      <c r="L4" s="75" t="s">
        <v>2</v>
      </c>
      <c r="M4" s="76"/>
      <c r="N4" s="1"/>
      <c r="O4" s="88"/>
      <c r="P4" s="89"/>
      <c r="Q4" s="90"/>
      <c r="S4" s="94" t="s">
        <v>1</v>
      </c>
      <c r="T4" s="95"/>
      <c r="U4" s="75" t="s">
        <v>2</v>
      </c>
      <c r="V4" s="76"/>
    </row>
    <row r="5" spans="2:26" ht="13.5" thickBot="1" x14ac:dyDescent="0.25">
      <c r="B5" s="1"/>
      <c r="D5" s="78"/>
      <c r="E5" s="28"/>
      <c r="F5" s="2" t="s">
        <v>6</v>
      </c>
      <c r="G5" s="3" t="s">
        <v>7</v>
      </c>
      <c r="H5" s="2" t="s">
        <v>6</v>
      </c>
      <c r="I5" s="3" t="s">
        <v>7</v>
      </c>
      <c r="J5" s="2" t="s">
        <v>6</v>
      </c>
      <c r="K5" s="3" t="s">
        <v>7</v>
      </c>
      <c r="L5" s="2" t="s">
        <v>6</v>
      </c>
      <c r="M5" s="3" t="s">
        <v>7</v>
      </c>
      <c r="N5" s="1"/>
      <c r="O5" s="17" t="s">
        <v>8</v>
      </c>
      <c r="P5" s="60" t="s">
        <v>9</v>
      </c>
      <c r="Q5" s="18" t="s">
        <v>10</v>
      </c>
      <c r="S5" s="17" t="s">
        <v>6</v>
      </c>
      <c r="T5" s="18" t="s">
        <v>7</v>
      </c>
      <c r="U5" s="2" t="s">
        <v>6</v>
      </c>
      <c r="V5" s="3" t="s">
        <v>7</v>
      </c>
    </row>
    <row r="6" spans="2:26" ht="13.5" thickBot="1" x14ac:dyDescent="0.25">
      <c r="B6" s="4" t="s">
        <v>5</v>
      </c>
      <c r="D6" s="19">
        <f>DATE(2020,B19,1)</f>
        <v>44105</v>
      </c>
      <c r="E6" s="29">
        <f>IF(D6="-",0,IF(OR(WEEKDAY(D6)=1,WEEKDAY(D6)=7),1,0))</f>
        <v>0</v>
      </c>
      <c r="F6" s="9">
        <v>9</v>
      </c>
      <c r="G6" s="10">
        <v>40</v>
      </c>
      <c r="H6" s="9">
        <v>17</v>
      </c>
      <c r="I6" s="10">
        <v>8</v>
      </c>
      <c r="J6" s="9">
        <v>0</v>
      </c>
      <c r="K6" s="10">
        <v>0</v>
      </c>
      <c r="L6" s="9">
        <v>0</v>
      </c>
      <c r="M6" s="10">
        <v>0</v>
      </c>
      <c r="N6" s="7"/>
      <c r="O6" s="41">
        <f>IFERROR(((H6+I6/60)-(F6+G6/60))+((L6+M6/60)-(J6+K6/60)), "-")</f>
        <v>7.4666666666666668</v>
      </c>
      <c r="P6" s="42">
        <f>IFERROR(IF(AND(O6&gt;=6,O6&lt;=6.7),6,IF(O6&gt;6.7,IF(O6-$B$7&gt;0,O6-$B$7, 0),O6)),0)</f>
        <v>6.7666666666666666</v>
      </c>
      <c r="Q6" s="43">
        <f>IFERROR(IF(P6-$B$4&gt;-7,P6-$B$4, "-"),0)</f>
        <v>-0.23333333333333339</v>
      </c>
      <c r="R6" s="8"/>
      <c r="S6" s="15">
        <f>IFERROR(F6, "-")</f>
        <v>9</v>
      </c>
      <c r="T6" s="16">
        <f>IFERROR(G6, "-")</f>
        <v>40</v>
      </c>
      <c r="U6" s="15">
        <f>IFERROR(INT(S6+T6/60+O6),"-")</f>
        <v>17</v>
      </c>
      <c r="V6" s="16">
        <f>IFERROR((S6+T6/60+O6-INT(S6+T6/60+O6))*60,"-")</f>
        <v>7.9999999999999716</v>
      </c>
    </row>
    <row r="7" spans="2:26" ht="13.5" thickBot="1" x14ac:dyDescent="0.25">
      <c r="B7" s="6">
        <f>42/60</f>
        <v>0.7</v>
      </c>
      <c r="D7" s="20">
        <f>D6+1</f>
        <v>44106</v>
      </c>
      <c r="E7" s="29">
        <f t="shared" ref="E7:E36" si="0">IF(D7="-",0,IF(OR(WEEKDAY(D7)=1,WEEKDAY(D7)=7),1,0))</f>
        <v>0</v>
      </c>
      <c r="F7" s="11">
        <v>9</v>
      </c>
      <c r="G7" s="12">
        <v>0</v>
      </c>
      <c r="H7" s="11">
        <v>17</v>
      </c>
      <c r="I7" s="12">
        <v>12</v>
      </c>
      <c r="J7" s="11">
        <v>0</v>
      </c>
      <c r="K7" s="12">
        <v>0</v>
      </c>
      <c r="L7" s="11">
        <v>0</v>
      </c>
      <c r="M7" s="12">
        <v>0</v>
      </c>
      <c r="N7" s="7"/>
      <c r="O7" s="25">
        <f>IFERROR(((H7+I7/60)-(F7+G7/60))+((L7+M7/60)-(J7+K7/60)), "-")</f>
        <v>8.1999999999999993</v>
      </c>
      <c r="P7" s="26">
        <f t="shared" ref="P7:P36" si="1">IFERROR(IF(AND(O7&gt;=6,O7&lt;=6.7),6,IF(O7&gt;6.7,IF(O7-$B$7&gt;0,O7-$B$7, 0),O7)),0)</f>
        <v>7.4999999999999991</v>
      </c>
      <c r="Q7" s="27">
        <f>IFERROR(IF(P7-$B$4&gt;-7,P7-$B$4, "-"),0)</f>
        <v>0.49999999999999911</v>
      </c>
      <c r="R7" s="8"/>
      <c r="S7" s="13">
        <f>IFERROR(F7, "-")</f>
        <v>9</v>
      </c>
      <c r="T7" s="14">
        <f>IFERROR(G7, "-")</f>
        <v>0</v>
      </c>
      <c r="U7" s="13">
        <f>IFERROR(INT(S7+T7/60+O7),"-")</f>
        <v>17</v>
      </c>
      <c r="V7" s="14">
        <f>IFERROR((S7+T7/60+O7-INT(S7+T7/60+O7))*60,"-")</f>
        <v>11.999999999999957</v>
      </c>
    </row>
    <row r="8" spans="2:26" ht="13.5" thickBot="1" x14ac:dyDescent="0.25">
      <c r="D8" s="20">
        <f t="shared" ref="D8:D35" si="2">D7+1</f>
        <v>44107</v>
      </c>
      <c r="E8" s="29">
        <f t="shared" si="0"/>
        <v>1</v>
      </c>
      <c r="F8" s="13" t="s">
        <v>16</v>
      </c>
      <c r="G8" s="14" t="s">
        <v>16</v>
      </c>
      <c r="H8" s="13" t="s">
        <v>16</v>
      </c>
      <c r="I8" s="14" t="s">
        <v>16</v>
      </c>
      <c r="J8" s="13" t="s">
        <v>16</v>
      </c>
      <c r="K8" s="14" t="s">
        <v>16</v>
      </c>
      <c r="L8" s="13" t="s">
        <v>16</v>
      </c>
      <c r="M8" s="14" t="s">
        <v>16</v>
      </c>
      <c r="N8" s="8"/>
      <c r="O8" s="25" t="str">
        <f t="shared" ref="O8:O36" si="3">IFERROR(((H8+I8/60)-(F8+G8/60))+((L8+M8/60)-(J8+K8/60)), "-")</f>
        <v>-</v>
      </c>
      <c r="P8" s="26">
        <f t="shared" si="1"/>
        <v>0</v>
      </c>
      <c r="Q8" s="27" t="str">
        <f t="shared" ref="Q8:Q36" si="4">IFERROR(IF(P8-$B$4&gt;-7,P8-$B$4, "-"),0)</f>
        <v>-</v>
      </c>
      <c r="R8" s="8"/>
      <c r="S8" s="13" t="str">
        <f t="shared" ref="S8:T36" si="5">IFERROR(F8, "-")</f>
        <v>-</v>
      </c>
      <c r="T8" s="14" t="str">
        <f t="shared" si="5"/>
        <v>-</v>
      </c>
      <c r="U8" s="13" t="str">
        <f t="shared" ref="U8:U36" si="6">IFERROR(INT(S8+T8/60+O8),"-")</f>
        <v>-</v>
      </c>
      <c r="V8" s="14" t="str">
        <f t="shared" ref="V8:V36" si="7">IFERROR((S8+T8/60+O8-INT(S8+T8/60+O8))*60,"-")</f>
        <v>-</v>
      </c>
      <c r="X8" s="32"/>
      <c r="Y8" s="32"/>
      <c r="Z8" s="32"/>
    </row>
    <row r="9" spans="2:26" ht="13.5" thickBot="1" x14ac:dyDescent="0.25">
      <c r="B9" s="4" t="s">
        <v>11</v>
      </c>
      <c r="D9" s="20">
        <f t="shared" si="2"/>
        <v>44108</v>
      </c>
      <c r="E9" s="29">
        <f t="shared" si="0"/>
        <v>1</v>
      </c>
      <c r="F9" s="13" t="s">
        <v>16</v>
      </c>
      <c r="G9" s="14" t="s">
        <v>16</v>
      </c>
      <c r="H9" s="13" t="s">
        <v>16</v>
      </c>
      <c r="I9" s="14" t="s">
        <v>16</v>
      </c>
      <c r="J9" s="13" t="s">
        <v>16</v>
      </c>
      <c r="K9" s="14" t="s">
        <v>16</v>
      </c>
      <c r="L9" s="13" t="s">
        <v>16</v>
      </c>
      <c r="M9" s="14" t="s">
        <v>16</v>
      </c>
      <c r="N9" s="8"/>
      <c r="O9" s="25" t="str">
        <f t="shared" si="3"/>
        <v>-</v>
      </c>
      <c r="P9" s="26">
        <f t="shared" si="1"/>
        <v>0</v>
      </c>
      <c r="Q9" s="27" t="str">
        <f t="shared" si="4"/>
        <v>-</v>
      </c>
      <c r="R9" s="8"/>
      <c r="S9" s="13" t="str">
        <f t="shared" si="5"/>
        <v>-</v>
      </c>
      <c r="T9" s="14" t="str">
        <f t="shared" si="5"/>
        <v>-</v>
      </c>
      <c r="U9" s="13" t="str">
        <f t="shared" si="6"/>
        <v>-</v>
      </c>
      <c r="V9" s="14" t="str">
        <f t="shared" si="7"/>
        <v>-</v>
      </c>
    </row>
    <row r="10" spans="2:26" ht="13.5" thickBot="1" x14ac:dyDescent="0.25">
      <c r="B10" s="5">
        <f>SUM(O6:O47)</f>
        <v>181.36666666666667</v>
      </c>
      <c r="D10" s="20">
        <f t="shared" si="2"/>
        <v>44109</v>
      </c>
      <c r="E10" s="29">
        <f t="shared" si="0"/>
        <v>0</v>
      </c>
      <c r="F10" s="13">
        <v>10</v>
      </c>
      <c r="G10" s="14">
        <v>22</v>
      </c>
      <c r="H10" s="13">
        <v>19</v>
      </c>
      <c r="I10" s="14">
        <v>30</v>
      </c>
      <c r="J10" s="13">
        <v>0</v>
      </c>
      <c r="K10" s="14">
        <v>0</v>
      </c>
      <c r="L10" s="13">
        <v>0</v>
      </c>
      <c r="M10" s="14">
        <v>0</v>
      </c>
      <c r="O10" s="25">
        <f t="shared" si="3"/>
        <v>9.1333333333333329</v>
      </c>
      <c r="P10" s="26">
        <f t="shared" si="1"/>
        <v>8.4333333333333336</v>
      </c>
      <c r="Q10" s="27">
        <f t="shared" si="4"/>
        <v>1.4333333333333336</v>
      </c>
      <c r="S10" s="13">
        <f t="shared" si="5"/>
        <v>10</v>
      </c>
      <c r="T10" s="14">
        <f t="shared" si="5"/>
        <v>22</v>
      </c>
      <c r="U10" s="13">
        <f t="shared" si="6"/>
        <v>19</v>
      </c>
      <c r="V10" s="14">
        <f t="shared" si="7"/>
        <v>30</v>
      </c>
    </row>
    <row r="11" spans="2:26" ht="13.5" thickBot="1" x14ac:dyDescent="0.25">
      <c r="D11" s="20">
        <f t="shared" si="2"/>
        <v>44110</v>
      </c>
      <c r="E11" s="29">
        <f t="shared" si="0"/>
        <v>0</v>
      </c>
      <c r="F11" s="13">
        <v>10</v>
      </c>
      <c r="G11" s="14">
        <v>3</v>
      </c>
      <c r="H11" s="13">
        <v>19</v>
      </c>
      <c r="I11" s="14">
        <v>53</v>
      </c>
      <c r="J11" s="13">
        <v>0</v>
      </c>
      <c r="K11" s="14">
        <v>0</v>
      </c>
      <c r="L11" s="13">
        <v>0</v>
      </c>
      <c r="M11" s="14">
        <v>0</v>
      </c>
      <c r="O11" s="25">
        <f t="shared" si="3"/>
        <v>9.8333333333333321</v>
      </c>
      <c r="P11" s="26">
        <f t="shared" si="1"/>
        <v>9.1333333333333329</v>
      </c>
      <c r="Q11" s="27">
        <f t="shared" si="4"/>
        <v>2.1333333333333329</v>
      </c>
      <c r="S11" s="13">
        <f t="shared" si="5"/>
        <v>10</v>
      </c>
      <c r="T11" s="14">
        <f t="shared" si="5"/>
        <v>3</v>
      </c>
      <c r="U11" s="13">
        <f t="shared" si="6"/>
        <v>19</v>
      </c>
      <c r="V11" s="14">
        <f t="shared" si="7"/>
        <v>52.999999999999972</v>
      </c>
    </row>
    <row r="12" spans="2:26" ht="13.5" thickBot="1" x14ac:dyDescent="0.25">
      <c r="B12" s="4" t="s">
        <v>12</v>
      </c>
      <c r="D12" s="20">
        <f t="shared" si="2"/>
        <v>44111</v>
      </c>
      <c r="E12" s="29">
        <f t="shared" si="0"/>
        <v>0</v>
      </c>
      <c r="F12" s="13">
        <v>7</v>
      </c>
      <c r="G12" s="14">
        <v>40</v>
      </c>
      <c r="H12" s="13">
        <v>17</v>
      </c>
      <c r="I12" s="14">
        <v>36</v>
      </c>
      <c r="J12" s="13">
        <v>0</v>
      </c>
      <c r="K12" s="14">
        <v>0</v>
      </c>
      <c r="L12" s="13">
        <v>0</v>
      </c>
      <c r="M12" s="14">
        <v>0</v>
      </c>
      <c r="O12" s="25">
        <f t="shared" si="3"/>
        <v>9.9333333333333336</v>
      </c>
      <c r="P12" s="26">
        <f t="shared" si="1"/>
        <v>9.2333333333333343</v>
      </c>
      <c r="Q12" s="27">
        <f t="shared" si="4"/>
        <v>2.2333333333333343</v>
      </c>
      <c r="S12" s="13">
        <f t="shared" si="5"/>
        <v>7</v>
      </c>
      <c r="T12" s="14">
        <f t="shared" si="5"/>
        <v>40</v>
      </c>
      <c r="U12" s="13">
        <f t="shared" si="6"/>
        <v>17</v>
      </c>
      <c r="V12" s="14">
        <f t="shared" si="7"/>
        <v>36.000000000000085</v>
      </c>
    </row>
    <row r="13" spans="2:26" ht="13.5" thickBot="1" x14ac:dyDescent="0.25">
      <c r="B13" s="5">
        <f>SUM(Q6:Q47)</f>
        <v>14.650000000000009</v>
      </c>
      <c r="D13" s="20">
        <f t="shared" si="2"/>
        <v>44112</v>
      </c>
      <c r="E13" s="29">
        <f t="shared" si="0"/>
        <v>0</v>
      </c>
      <c r="F13" s="13">
        <v>10</v>
      </c>
      <c r="G13" s="14">
        <v>21</v>
      </c>
      <c r="H13" s="13">
        <v>19</v>
      </c>
      <c r="I13" s="14">
        <v>7</v>
      </c>
      <c r="J13" s="13">
        <v>0</v>
      </c>
      <c r="K13" s="14">
        <v>0</v>
      </c>
      <c r="L13" s="13">
        <v>0</v>
      </c>
      <c r="M13" s="24">
        <v>0</v>
      </c>
      <c r="O13" s="25">
        <f t="shared" si="3"/>
        <v>8.7666666666666675</v>
      </c>
      <c r="P13" s="26">
        <f t="shared" si="1"/>
        <v>8.0666666666666682</v>
      </c>
      <c r="Q13" s="27">
        <f t="shared" si="4"/>
        <v>1.0666666666666682</v>
      </c>
      <c r="S13" s="13">
        <f t="shared" si="5"/>
        <v>10</v>
      </c>
      <c r="T13" s="14">
        <f t="shared" si="5"/>
        <v>21</v>
      </c>
      <c r="U13" s="13">
        <f t="shared" si="6"/>
        <v>19</v>
      </c>
      <c r="V13" s="14">
        <f t="shared" si="7"/>
        <v>7.0000000000000284</v>
      </c>
    </row>
    <row r="14" spans="2:26" x14ac:dyDescent="0.2">
      <c r="D14" s="20">
        <f t="shared" si="2"/>
        <v>44113</v>
      </c>
      <c r="E14" s="29">
        <f t="shared" si="0"/>
        <v>0</v>
      </c>
      <c r="F14" s="13">
        <v>9</v>
      </c>
      <c r="G14" s="14">
        <v>2</v>
      </c>
      <c r="H14" s="13">
        <v>17</v>
      </c>
      <c r="I14" s="14">
        <v>57</v>
      </c>
      <c r="J14" s="13">
        <v>0</v>
      </c>
      <c r="K14" s="14">
        <v>0</v>
      </c>
      <c r="L14" s="13">
        <v>0</v>
      </c>
      <c r="M14" s="24">
        <v>0</v>
      </c>
      <c r="O14" s="25">
        <f t="shared" si="3"/>
        <v>8.9166666666666661</v>
      </c>
      <c r="P14" s="26">
        <f t="shared" si="1"/>
        <v>8.2166666666666668</v>
      </c>
      <c r="Q14" s="27">
        <f t="shared" si="4"/>
        <v>1.2166666666666668</v>
      </c>
      <c r="S14" s="13">
        <f t="shared" si="5"/>
        <v>9</v>
      </c>
      <c r="T14" s="14">
        <f t="shared" si="5"/>
        <v>2</v>
      </c>
      <c r="U14" s="13">
        <f t="shared" si="6"/>
        <v>17</v>
      </c>
      <c r="V14" s="14">
        <f t="shared" si="7"/>
        <v>56.999999999999957</v>
      </c>
    </row>
    <row r="15" spans="2:26" x14ac:dyDescent="0.2">
      <c r="D15" s="20">
        <f t="shared" si="2"/>
        <v>44114</v>
      </c>
      <c r="E15" s="29">
        <f t="shared" si="0"/>
        <v>1</v>
      </c>
      <c r="F15" s="22" t="s">
        <v>16</v>
      </c>
      <c r="G15" s="23" t="s">
        <v>16</v>
      </c>
      <c r="H15" s="22" t="s">
        <v>16</v>
      </c>
      <c r="I15" s="23" t="s">
        <v>16</v>
      </c>
      <c r="J15" s="22" t="s">
        <v>16</v>
      </c>
      <c r="K15" s="23" t="s">
        <v>16</v>
      </c>
      <c r="L15" s="22" t="s">
        <v>16</v>
      </c>
      <c r="M15" s="24" t="s">
        <v>16</v>
      </c>
      <c r="O15" s="25" t="str">
        <f t="shared" si="3"/>
        <v>-</v>
      </c>
      <c r="P15" s="26">
        <f t="shared" si="1"/>
        <v>0</v>
      </c>
      <c r="Q15" s="27" t="str">
        <f t="shared" si="4"/>
        <v>-</v>
      </c>
      <c r="S15" s="13" t="str">
        <f t="shared" si="5"/>
        <v>-</v>
      </c>
      <c r="T15" s="14" t="str">
        <f t="shared" si="5"/>
        <v>-</v>
      </c>
      <c r="U15" s="13" t="str">
        <f t="shared" si="6"/>
        <v>-</v>
      </c>
      <c r="V15" s="14" t="str">
        <f t="shared" si="7"/>
        <v>-</v>
      </c>
    </row>
    <row r="16" spans="2:26" x14ac:dyDescent="0.2">
      <c r="D16" s="20">
        <f t="shared" si="2"/>
        <v>44115</v>
      </c>
      <c r="E16" s="29">
        <f t="shared" si="0"/>
        <v>1</v>
      </c>
      <c r="F16" s="22" t="s">
        <v>16</v>
      </c>
      <c r="G16" s="23" t="s">
        <v>16</v>
      </c>
      <c r="H16" s="22" t="s">
        <v>16</v>
      </c>
      <c r="I16" s="23" t="s">
        <v>16</v>
      </c>
      <c r="J16" s="22" t="s">
        <v>16</v>
      </c>
      <c r="K16" s="23" t="s">
        <v>16</v>
      </c>
      <c r="L16" s="22" t="s">
        <v>16</v>
      </c>
      <c r="M16" s="24" t="s">
        <v>16</v>
      </c>
      <c r="O16" s="25" t="str">
        <f t="shared" si="3"/>
        <v>-</v>
      </c>
      <c r="P16" s="26">
        <f t="shared" si="1"/>
        <v>0</v>
      </c>
      <c r="Q16" s="27" t="str">
        <f t="shared" si="4"/>
        <v>-</v>
      </c>
      <c r="S16" s="13" t="str">
        <f t="shared" si="5"/>
        <v>-</v>
      </c>
      <c r="T16" s="14" t="str">
        <f t="shared" si="5"/>
        <v>-</v>
      </c>
      <c r="U16" s="13" t="str">
        <f t="shared" si="6"/>
        <v>-</v>
      </c>
      <c r="V16" s="14" t="str">
        <f t="shared" si="7"/>
        <v>-</v>
      </c>
    </row>
    <row r="17" spans="2:31" ht="13.5" thickBot="1" x14ac:dyDescent="0.25">
      <c r="D17" s="20">
        <f t="shared" si="2"/>
        <v>44116</v>
      </c>
      <c r="E17" s="29">
        <f t="shared" si="0"/>
        <v>0</v>
      </c>
      <c r="F17" s="13">
        <v>9</v>
      </c>
      <c r="G17" s="14">
        <v>8</v>
      </c>
      <c r="H17" s="13">
        <v>19</v>
      </c>
      <c r="I17" s="14">
        <v>8</v>
      </c>
      <c r="J17" s="13">
        <v>0</v>
      </c>
      <c r="K17" s="14">
        <v>0</v>
      </c>
      <c r="L17" s="13">
        <v>0</v>
      </c>
      <c r="M17" s="14">
        <v>0</v>
      </c>
      <c r="N17" s="1"/>
      <c r="O17" s="25">
        <f t="shared" si="3"/>
        <v>10</v>
      </c>
      <c r="P17" s="26">
        <f t="shared" si="1"/>
        <v>9.3000000000000007</v>
      </c>
      <c r="Q17" s="27">
        <f t="shared" si="4"/>
        <v>2.3000000000000007</v>
      </c>
      <c r="R17" s="1"/>
      <c r="S17" s="13">
        <f t="shared" si="5"/>
        <v>9</v>
      </c>
      <c r="T17" s="14">
        <f t="shared" si="5"/>
        <v>8</v>
      </c>
      <c r="U17" s="13">
        <f t="shared" si="6"/>
        <v>19</v>
      </c>
      <c r="V17" s="14">
        <f t="shared" si="7"/>
        <v>7.9999999999999716</v>
      </c>
    </row>
    <row r="18" spans="2:31" ht="13.5" thickBot="1" x14ac:dyDescent="0.25">
      <c r="B18" s="54" t="s">
        <v>17</v>
      </c>
      <c r="D18" s="20">
        <f t="shared" si="2"/>
        <v>44117</v>
      </c>
      <c r="E18" s="29">
        <f t="shared" si="0"/>
        <v>0</v>
      </c>
      <c r="F18" s="13">
        <v>9</v>
      </c>
      <c r="G18" s="14">
        <v>8</v>
      </c>
      <c r="H18" s="13">
        <v>19</v>
      </c>
      <c r="I18" s="14">
        <v>7</v>
      </c>
      <c r="J18" s="13">
        <v>0</v>
      </c>
      <c r="K18" s="14">
        <v>0</v>
      </c>
      <c r="L18" s="13">
        <v>0</v>
      </c>
      <c r="M18" s="14">
        <v>0</v>
      </c>
      <c r="N18" s="1"/>
      <c r="O18" s="25">
        <f t="shared" si="3"/>
        <v>9.9833333333333343</v>
      </c>
      <c r="P18" s="26">
        <f t="shared" si="1"/>
        <v>9.283333333333335</v>
      </c>
      <c r="Q18" s="27">
        <f t="shared" si="4"/>
        <v>2.283333333333335</v>
      </c>
      <c r="R18" s="1"/>
      <c r="S18" s="13">
        <f t="shared" si="5"/>
        <v>9</v>
      </c>
      <c r="T18" s="14">
        <f t="shared" si="5"/>
        <v>8</v>
      </c>
      <c r="U18" s="13">
        <f t="shared" si="6"/>
        <v>19</v>
      </c>
      <c r="V18" s="14">
        <f t="shared" si="7"/>
        <v>7.0000000000000284</v>
      </c>
    </row>
    <row r="19" spans="2:31" ht="13.5" thickBot="1" x14ac:dyDescent="0.25">
      <c r="B19" s="53">
        <v>10</v>
      </c>
      <c r="D19" s="20">
        <f t="shared" si="2"/>
        <v>44118</v>
      </c>
      <c r="E19" s="29">
        <f t="shared" si="0"/>
        <v>0</v>
      </c>
      <c r="F19" s="13">
        <v>8</v>
      </c>
      <c r="G19" s="14">
        <v>54</v>
      </c>
      <c r="H19" s="13">
        <v>17</v>
      </c>
      <c r="I19" s="14">
        <v>59</v>
      </c>
      <c r="J19" s="13">
        <v>0</v>
      </c>
      <c r="K19" s="14">
        <v>0</v>
      </c>
      <c r="L19" s="13">
        <v>0</v>
      </c>
      <c r="M19" s="14">
        <v>0</v>
      </c>
      <c r="N19" s="1"/>
      <c r="O19" s="25">
        <f t="shared" si="3"/>
        <v>9.0833333333333339</v>
      </c>
      <c r="P19" s="26">
        <f t="shared" si="1"/>
        <v>8.3833333333333346</v>
      </c>
      <c r="Q19" s="27">
        <f t="shared" si="4"/>
        <v>1.3833333333333346</v>
      </c>
      <c r="R19" s="1"/>
      <c r="S19" s="13">
        <f t="shared" si="5"/>
        <v>8</v>
      </c>
      <c r="T19" s="14">
        <f t="shared" si="5"/>
        <v>54</v>
      </c>
      <c r="U19" s="13">
        <f t="shared" si="6"/>
        <v>17</v>
      </c>
      <c r="V19" s="14">
        <f t="shared" si="7"/>
        <v>59.000000000000057</v>
      </c>
    </row>
    <row r="20" spans="2:31" x14ac:dyDescent="0.2">
      <c r="B20" s="59"/>
      <c r="D20" s="20">
        <f t="shared" si="2"/>
        <v>44119</v>
      </c>
      <c r="E20" s="29">
        <f t="shared" si="0"/>
        <v>0</v>
      </c>
      <c r="F20" s="13">
        <v>9</v>
      </c>
      <c r="G20" s="14">
        <v>5</v>
      </c>
      <c r="H20" s="13">
        <v>17</v>
      </c>
      <c r="I20" s="14">
        <v>27</v>
      </c>
      <c r="J20" s="13">
        <v>0</v>
      </c>
      <c r="K20" s="14">
        <v>0</v>
      </c>
      <c r="L20" s="13">
        <v>0</v>
      </c>
      <c r="M20" s="14">
        <v>0</v>
      </c>
      <c r="N20" s="1"/>
      <c r="O20" s="25">
        <f t="shared" si="3"/>
        <v>8.3666666666666654</v>
      </c>
      <c r="P20" s="26">
        <f t="shared" si="1"/>
        <v>7.6666666666666652</v>
      </c>
      <c r="Q20" s="27">
        <f t="shared" si="4"/>
        <v>0.66666666666666519</v>
      </c>
      <c r="R20" s="1"/>
      <c r="S20" s="13">
        <f t="shared" si="5"/>
        <v>9</v>
      </c>
      <c r="T20" s="14">
        <f t="shared" si="5"/>
        <v>5</v>
      </c>
      <c r="U20" s="13">
        <f t="shared" si="6"/>
        <v>17</v>
      </c>
      <c r="V20" s="14">
        <f t="shared" si="7"/>
        <v>26.999999999999957</v>
      </c>
    </row>
    <row r="21" spans="2:31" x14ac:dyDescent="0.2">
      <c r="B21" s="32"/>
      <c r="D21" s="20">
        <f t="shared" si="2"/>
        <v>44120</v>
      </c>
      <c r="E21" s="29">
        <f t="shared" si="0"/>
        <v>0</v>
      </c>
      <c r="F21" s="13">
        <v>7</v>
      </c>
      <c r="G21" s="14">
        <v>2</v>
      </c>
      <c r="H21" s="13">
        <v>16</v>
      </c>
      <c r="I21" s="14">
        <v>2</v>
      </c>
      <c r="J21" s="13">
        <v>0</v>
      </c>
      <c r="K21" s="14">
        <v>0</v>
      </c>
      <c r="L21" s="13">
        <v>0</v>
      </c>
      <c r="M21" s="14">
        <v>0</v>
      </c>
      <c r="N21" s="1"/>
      <c r="O21" s="25">
        <f t="shared" si="3"/>
        <v>9.0000000000000018</v>
      </c>
      <c r="P21" s="26">
        <f t="shared" si="1"/>
        <v>8.3000000000000025</v>
      </c>
      <c r="Q21" s="27">
        <f t="shared" si="4"/>
        <v>1.3000000000000025</v>
      </c>
      <c r="R21" s="1"/>
      <c r="S21" s="13">
        <f t="shared" si="5"/>
        <v>7</v>
      </c>
      <c r="T21" s="14">
        <f t="shared" si="5"/>
        <v>2</v>
      </c>
      <c r="U21" s="13">
        <f t="shared" si="6"/>
        <v>16</v>
      </c>
      <c r="V21" s="14">
        <f t="shared" si="7"/>
        <v>2.0000000000000995</v>
      </c>
      <c r="AC21" s="32"/>
    </row>
    <row r="22" spans="2:31" x14ac:dyDescent="0.2">
      <c r="B22" s="32"/>
      <c r="D22" s="20">
        <f t="shared" si="2"/>
        <v>44121</v>
      </c>
      <c r="E22" s="29">
        <f t="shared" si="0"/>
        <v>1</v>
      </c>
      <c r="F22" s="13" t="s">
        <v>16</v>
      </c>
      <c r="G22" s="14" t="s">
        <v>16</v>
      </c>
      <c r="H22" s="13" t="s">
        <v>16</v>
      </c>
      <c r="I22" s="14" t="s">
        <v>16</v>
      </c>
      <c r="J22" s="13" t="s">
        <v>16</v>
      </c>
      <c r="K22" s="14" t="s">
        <v>16</v>
      </c>
      <c r="L22" s="13" t="s">
        <v>16</v>
      </c>
      <c r="M22" s="14" t="s">
        <v>16</v>
      </c>
      <c r="N22" s="1"/>
      <c r="O22" s="25" t="str">
        <f t="shared" si="3"/>
        <v>-</v>
      </c>
      <c r="P22" s="26">
        <f t="shared" si="1"/>
        <v>0</v>
      </c>
      <c r="Q22" s="27" t="str">
        <f t="shared" si="4"/>
        <v>-</v>
      </c>
      <c r="R22" s="1"/>
      <c r="S22" s="13" t="str">
        <f t="shared" si="5"/>
        <v>-</v>
      </c>
      <c r="T22" s="14" t="str">
        <f t="shared" si="5"/>
        <v>-</v>
      </c>
      <c r="U22" s="13" t="str">
        <f t="shared" si="6"/>
        <v>-</v>
      </c>
      <c r="V22" s="14" t="str">
        <f t="shared" si="7"/>
        <v>-</v>
      </c>
      <c r="AC22" s="32"/>
    </row>
    <row r="23" spans="2:31" x14ac:dyDescent="0.2">
      <c r="B23" s="32"/>
      <c r="D23" s="20">
        <f t="shared" si="2"/>
        <v>44122</v>
      </c>
      <c r="E23" s="29">
        <f t="shared" si="0"/>
        <v>1</v>
      </c>
      <c r="F23" s="13" t="s">
        <v>16</v>
      </c>
      <c r="G23" s="14" t="s">
        <v>16</v>
      </c>
      <c r="H23" s="13" t="s">
        <v>16</v>
      </c>
      <c r="I23" s="14" t="s">
        <v>16</v>
      </c>
      <c r="J23" s="13" t="s">
        <v>16</v>
      </c>
      <c r="K23" s="14" t="s">
        <v>16</v>
      </c>
      <c r="L23" s="13" t="s">
        <v>16</v>
      </c>
      <c r="M23" s="24" t="s">
        <v>16</v>
      </c>
      <c r="N23" s="1"/>
      <c r="O23" s="25" t="str">
        <f t="shared" si="3"/>
        <v>-</v>
      </c>
      <c r="P23" s="26">
        <f t="shared" si="1"/>
        <v>0</v>
      </c>
      <c r="Q23" s="27" t="str">
        <f t="shared" si="4"/>
        <v>-</v>
      </c>
      <c r="R23" s="1"/>
      <c r="S23" s="13" t="str">
        <f t="shared" si="5"/>
        <v>-</v>
      </c>
      <c r="T23" s="14" t="str">
        <f t="shared" si="5"/>
        <v>-</v>
      </c>
      <c r="U23" s="13" t="str">
        <f t="shared" si="6"/>
        <v>-</v>
      </c>
      <c r="V23" s="14" t="str">
        <f t="shared" si="7"/>
        <v>-</v>
      </c>
      <c r="Y23" s="64"/>
      <c r="Z23" s="66"/>
      <c r="AB23" s="32"/>
      <c r="AC23" s="66"/>
    </row>
    <row r="24" spans="2:31" ht="13.5" thickBot="1" x14ac:dyDescent="0.25">
      <c r="B24" s="32"/>
      <c r="D24" s="20">
        <f t="shared" si="2"/>
        <v>44123</v>
      </c>
      <c r="E24" s="29">
        <f t="shared" si="0"/>
        <v>0</v>
      </c>
      <c r="F24" s="13">
        <v>9</v>
      </c>
      <c r="G24" s="14">
        <v>3</v>
      </c>
      <c r="H24" s="13">
        <v>18</v>
      </c>
      <c r="I24" s="14">
        <v>36</v>
      </c>
      <c r="J24" s="13">
        <v>0</v>
      </c>
      <c r="K24" s="14">
        <v>0</v>
      </c>
      <c r="L24" s="13">
        <v>0</v>
      </c>
      <c r="M24" s="14">
        <v>0</v>
      </c>
      <c r="N24" s="1"/>
      <c r="O24" s="25">
        <f t="shared" si="3"/>
        <v>9.5500000000000007</v>
      </c>
      <c r="P24" s="26">
        <f t="shared" si="1"/>
        <v>8.8500000000000014</v>
      </c>
      <c r="Q24" s="27">
        <f t="shared" si="4"/>
        <v>1.8500000000000014</v>
      </c>
      <c r="R24" s="1"/>
      <c r="S24" s="13">
        <f t="shared" si="5"/>
        <v>9</v>
      </c>
      <c r="T24" s="14">
        <f t="shared" si="5"/>
        <v>3</v>
      </c>
      <c r="U24" s="13">
        <f t="shared" si="6"/>
        <v>18</v>
      </c>
      <c r="V24" s="14">
        <f t="shared" si="7"/>
        <v>36.000000000000085</v>
      </c>
      <c r="X24" s="32"/>
      <c r="AB24" s="32"/>
      <c r="AC24" s="71"/>
    </row>
    <row r="25" spans="2:31" ht="13.5" thickBot="1" x14ac:dyDescent="0.25">
      <c r="D25" s="20">
        <f t="shared" si="2"/>
        <v>44124</v>
      </c>
      <c r="E25" s="29">
        <f t="shared" si="0"/>
        <v>0</v>
      </c>
      <c r="F25" s="13">
        <v>8</v>
      </c>
      <c r="G25" s="14">
        <v>53</v>
      </c>
      <c r="H25" s="13">
        <v>17</v>
      </c>
      <c r="I25" s="14">
        <v>27</v>
      </c>
      <c r="J25" s="13">
        <v>0</v>
      </c>
      <c r="K25" s="14">
        <v>0</v>
      </c>
      <c r="L25" s="13">
        <v>0</v>
      </c>
      <c r="M25" s="14">
        <v>0</v>
      </c>
      <c r="N25" s="1"/>
      <c r="O25" s="25">
        <f t="shared" si="3"/>
        <v>8.5666666666666664</v>
      </c>
      <c r="P25" s="26">
        <f t="shared" si="1"/>
        <v>7.8666666666666663</v>
      </c>
      <c r="Q25" s="27">
        <f t="shared" si="4"/>
        <v>0.86666666666666625</v>
      </c>
      <c r="R25" s="1"/>
      <c r="S25" s="13">
        <f t="shared" si="5"/>
        <v>8</v>
      </c>
      <c r="T25" s="14">
        <f t="shared" si="5"/>
        <v>53</v>
      </c>
      <c r="U25" s="13">
        <f t="shared" si="6"/>
        <v>17</v>
      </c>
      <c r="V25" s="49">
        <f t="shared" si="7"/>
        <v>26.999999999999957</v>
      </c>
      <c r="W25" s="68"/>
      <c r="X25" s="62"/>
      <c r="Y25" s="61"/>
      <c r="AB25" s="52"/>
      <c r="AC25" s="71"/>
    </row>
    <row r="26" spans="2:31" x14ac:dyDescent="0.2">
      <c r="D26" s="20">
        <f t="shared" si="2"/>
        <v>44125</v>
      </c>
      <c r="E26" s="29">
        <f t="shared" si="0"/>
        <v>0</v>
      </c>
      <c r="F26" s="13">
        <v>9</v>
      </c>
      <c r="G26" s="14">
        <v>1</v>
      </c>
      <c r="H26" s="13">
        <v>18</v>
      </c>
      <c r="I26" s="14">
        <v>37</v>
      </c>
      <c r="J26" s="13">
        <v>0</v>
      </c>
      <c r="K26" s="14">
        <v>0</v>
      </c>
      <c r="L26" s="13">
        <v>0</v>
      </c>
      <c r="M26" s="14">
        <v>0</v>
      </c>
      <c r="N26" s="1"/>
      <c r="O26" s="25">
        <f t="shared" si="3"/>
        <v>9.6</v>
      </c>
      <c r="P26" s="26">
        <f t="shared" si="1"/>
        <v>8.9</v>
      </c>
      <c r="Q26" s="27">
        <f t="shared" si="4"/>
        <v>1.9000000000000004</v>
      </c>
      <c r="R26" s="1"/>
      <c r="S26" s="13">
        <f t="shared" si="5"/>
        <v>9</v>
      </c>
      <c r="T26" s="14">
        <f t="shared" si="5"/>
        <v>1</v>
      </c>
      <c r="U26" s="13">
        <f t="shared" si="6"/>
        <v>18</v>
      </c>
      <c r="V26" s="14">
        <f t="shared" si="7"/>
        <v>37.000000000000028</v>
      </c>
      <c r="W26" s="45"/>
      <c r="X26" s="65"/>
      <c r="AB26" s="45"/>
      <c r="AC26" s="71"/>
    </row>
    <row r="27" spans="2:31" x14ac:dyDescent="0.2">
      <c r="D27" s="20">
        <f t="shared" si="2"/>
        <v>44126</v>
      </c>
      <c r="E27" s="29">
        <f t="shared" si="0"/>
        <v>0</v>
      </c>
      <c r="F27" s="13">
        <v>9</v>
      </c>
      <c r="G27" s="14">
        <v>44</v>
      </c>
      <c r="H27" s="13">
        <v>18</v>
      </c>
      <c r="I27" s="14">
        <v>30</v>
      </c>
      <c r="J27" s="13">
        <v>0</v>
      </c>
      <c r="K27" s="14">
        <v>0</v>
      </c>
      <c r="L27" s="13">
        <v>0</v>
      </c>
      <c r="M27" s="14">
        <v>0</v>
      </c>
      <c r="N27" s="1"/>
      <c r="O27" s="25">
        <f t="shared" si="3"/>
        <v>8.7666666666666675</v>
      </c>
      <c r="P27" s="26">
        <f t="shared" si="1"/>
        <v>8.0666666666666682</v>
      </c>
      <c r="Q27" s="27">
        <f t="shared" si="4"/>
        <v>1.0666666666666682</v>
      </c>
      <c r="R27" s="1"/>
      <c r="S27" s="13">
        <f t="shared" si="5"/>
        <v>9</v>
      </c>
      <c r="T27" s="14">
        <f t="shared" si="5"/>
        <v>44</v>
      </c>
      <c r="U27" s="13">
        <f t="shared" si="6"/>
        <v>18</v>
      </c>
      <c r="V27" s="14">
        <f t="shared" si="7"/>
        <v>30</v>
      </c>
      <c r="W27" s="45"/>
      <c r="Y27" s="66"/>
      <c r="AB27" s="45"/>
      <c r="AC27" s="71"/>
    </row>
    <row r="28" spans="2:31" ht="13.5" thickBot="1" x14ac:dyDescent="0.25">
      <c r="D28" s="20">
        <f t="shared" si="2"/>
        <v>44127</v>
      </c>
      <c r="E28" s="29">
        <f t="shared" si="0"/>
        <v>0</v>
      </c>
      <c r="F28" s="13">
        <v>8</v>
      </c>
      <c r="G28" s="14">
        <v>45</v>
      </c>
      <c r="H28" s="13">
        <v>12</v>
      </c>
      <c r="I28" s="14">
        <v>57</v>
      </c>
      <c r="J28" s="13">
        <v>0</v>
      </c>
      <c r="K28" s="14">
        <v>0</v>
      </c>
      <c r="L28" s="13">
        <v>0</v>
      </c>
      <c r="M28" s="14">
        <v>0</v>
      </c>
      <c r="N28" s="1"/>
      <c r="O28" s="25">
        <f t="shared" si="3"/>
        <v>4.1999999999999993</v>
      </c>
      <c r="P28" s="26">
        <f t="shared" si="1"/>
        <v>4.1999999999999993</v>
      </c>
      <c r="Q28" s="27">
        <f t="shared" si="4"/>
        <v>-2.8000000000000007</v>
      </c>
      <c r="R28" s="1"/>
      <c r="S28" s="13">
        <f t="shared" si="5"/>
        <v>8</v>
      </c>
      <c r="T28" s="14">
        <f t="shared" si="5"/>
        <v>45</v>
      </c>
      <c r="U28" s="13">
        <f t="shared" si="6"/>
        <v>12</v>
      </c>
      <c r="V28" s="14">
        <f t="shared" si="7"/>
        <v>56.999999999999957</v>
      </c>
      <c r="W28" s="69"/>
      <c r="X28" s="67"/>
      <c r="Y28" s="32"/>
      <c r="AB28" s="45"/>
      <c r="AC28" s="71"/>
    </row>
    <row r="29" spans="2:31" ht="13.5" thickBot="1" x14ac:dyDescent="0.25">
      <c r="D29" s="20">
        <f t="shared" si="2"/>
        <v>44128</v>
      </c>
      <c r="E29" s="29">
        <f t="shared" si="0"/>
        <v>1</v>
      </c>
      <c r="F29" s="13" t="s">
        <v>16</v>
      </c>
      <c r="G29" s="14" t="s">
        <v>16</v>
      </c>
      <c r="H29" s="13" t="s">
        <v>16</v>
      </c>
      <c r="I29" s="14" t="s">
        <v>16</v>
      </c>
      <c r="J29" s="13" t="s">
        <v>16</v>
      </c>
      <c r="K29" s="14" t="s">
        <v>16</v>
      </c>
      <c r="L29" s="13" t="s">
        <v>16</v>
      </c>
      <c r="M29" s="14" t="s">
        <v>16</v>
      </c>
      <c r="N29" s="1"/>
      <c r="O29" s="25" t="str">
        <f t="shared" si="3"/>
        <v>-</v>
      </c>
      <c r="P29" s="26">
        <f t="shared" si="1"/>
        <v>0</v>
      </c>
      <c r="Q29" s="27" t="str">
        <f t="shared" si="4"/>
        <v>-</v>
      </c>
      <c r="R29" s="1"/>
      <c r="S29" s="13" t="str">
        <f t="shared" si="5"/>
        <v>-</v>
      </c>
      <c r="T29" s="14" t="str">
        <f t="shared" si="5"/>
        <v>-</v>
      </c>
      <c r="U29" s="13" t="str">
        <f t="shared" si="6"/>
        <v>-</v>
      </c>
      <c r="V29" s="49" t="str">
        <f t="shared" si="7"/>
        <v>-</v>
      </c>
      <c r="W29" s="67"/>
      <c r="X29" s="61"/>
      <c r="AB29" s="45"/>
      <c r="AC29" s="71"/>
    </row>
    <row r="30" spans="2:31" x14ac:dyDescent="0.2">
      <c r="D30" s="20">
        <f t="shared" si="2"/>
        <v>44129</v>
      </c>
      <c r="E30" s="29">
        <f t="shared" si="0"/>
        <v>1</v>
      </c>
      <c r="F30" s="13" t="s">
        <v>16</v>
      </c>
      <c r="G30" s="14" t="s">
        <v>16</v>
      </c>
      <c r="H30" s="13" t="s">
        <v>16</v>
      </c>
      <c r="I30" s="14" t="s">
        <v>16</v>
      </c>
      <c r="J30" s="13" t="s">
        <v>16</v>
      </c>
      <c r="K30" s="14" t="s">
        <v>16</v>
      </c>
      <c r="L30" s="13" t="s">
        <v>16</v>
      </c>
      <c r="M30" s="14" t="s">
        <v>16</v>
      </c>
      <c r="N30" s="1"/>
      <c r="O30" s="25" t="str">
        <f t="shared" si="3"/>
        <v>-</v>
      </c>
      <c r="P30" s="26">
        <f t="shared" si="1"/>
        <v>0</v>
      </c>
      <c r="Q30" s="27" t="str">
        <f t="shared" si="4"/>
        <v>-</v>
      </c>
      <c r="R30" s="1"/>
      <c r="S30" s="13" t="str">
        <f t="shared" si="5"/>
        <v>-</v>
      </c>
      <c r="T30" s="14" t="str">
        <f t="shared" si="5"/>
        <v>-</v>
      </c>
      <c r="U30" s="13" t="str">
        <f t="shared" si="6"/>
        <v>-</v>
      </c>
      <c r="V30" s="14" t="str">
        <f t="shared" si="7"/>
        <v>-</v>
      </c>
      <c r="W30" s="45"/>
      <c r="X30" s="63"/>
      <c r="AB30" s="45"/>
      <c r="AC30" s="71"/>
    </row>
    <row r="31" spans="2:31" x14ac:dyDescent="0.2">
      <c r="D31" s="20">
        <f t="shared" si="2"/>
        <v>44130</v>
      </c>
      <c r="E31" s="29">
        <f t="shared" si="0"/>
        <v>0</v>
      </c>
      <c r="F31" s="13">
        <v>11</v>
      </c>
      <c r="G31" s="14">
        <v>58</v>
      </c>
      <c r="H31" s="13">
        <v>17</v>
      </c>
      <c r="I31" s="14">
        <v>17</v>
      </c>
      <c r="J31" s="13">
        <v>0</v>
      </c>
      <c r="K31" s="14">
        <v>0</v>
      </c>
      <c r="L31" s="13">
        <v>0</v>
      </c>
      <c r="M31" s="14">
        <v>0</v>
      </c>
      <c r="N31" s="1"/>
      <c r="O31" s="25">
        <f t="shared" si="3"/>
        <v>5.3166666666666682</v>
      </c>
      <c r="P31" s="26">
        <f t="shared" si="1"/>
        <v>5.3166666666666682</v>
      </c>
      <c r="Q31" s="27">
        <f t="shared" si="4"/>
        <v>-1.6833333333333318</v>
      </c>
      <c r="R31" s="1"/>
      <c r="S31" s="13">
        <f t="shared" si="5"/>
        <v>11</v>
      </c>
      <c r="T31" s="14">
        <f t="shared" si="5"/>
        <v>58</v>
      </c>
      <c r="U31" s="13">
        <f t="shared" si="6"/>
        <v>17</v>
      </c>
      <c r="V31" s="14">
        <f t="shared" si="7"/>
        <v>17.000000000000099</v>
      </c>
      <c r="W31" s="45"/>
      <c r="Y31" s="64"/>
      <c r="Z31" s="66"/>
      <c r="AB31" s="45"/>
      <c r="AC31" s="32"/>
      <c r="AD31" s="64"/>
      <c r="AE31" s="66"/>
    </row>
    <row r="32" spans="2:31" ht="13.5" thickBot="1" x14ac:dyDescent="0.25">
      <c r="D32" s="20">
        <f t="shared" si="2"/>
        <v>44131</v>
      </c>
      <c r="E32" s="29">
        <f t="shared" si="0"/>
        <v>0</v>
      </c>
      <c r="F32" s="13">
        <v>9</v>
      </c>
      <c r="G32" s="14">
        <v>30</v>
      </c>
      <c r="H32" s="13">
        <v>15</v>
      </c>
      <c r="I32" s="14">
        <v>37</v>
      </c>
      <c r="J32" s="13">
        <v>0</v>
      </c>
      <c r="K32" s="14">
        <v>0</v>
      </c>
      <c r="L32" s="13">
        <v>0</v>
      </c>
      <c r="M32" s="14">
        <v>0</v>
      </c>
      <c r="N32" s="1"/>
      <c r="O32" s="25">
        <f t="shared" si="3"/>
        <v>6.1166666666666671</v>
      </c>
      <c r="P32" s="26">
        <f t="shared" si="1"/>
        <v>6</v>
      </c>
      <c r="Q32" s="27">
        <f t="shared" si="4"/>
        <v>-1</v>
      </c>
      <c r="R32" s="1"/>
      <c r="S32" s="13">
        <f t="shared" si="5"/>
        <v>9</v>
      </c>
      <c r="T32" s="14">
        <f t="shared" si="5"/>
        <v>30</v>
      </c>
      <c r="U32" s="13">
        <f t="shared" si="6"/>
        <v>15</v>
      </c>
      <c r="V32" s="14">
        <f t="shared" si="7"/>
        <v>37.000000000000028</v>
      </c>
      <c r="W32" s="45"/>
      <c r="AB32" s="45"/>
    </row>
    <row r="33" spans="2:30" ht="13.5" thickBot="1" x14ac:dyDescent="0.25">
      <c r="D33" s="20">
        <f t="shared" si="2"/>
        <v>44132</v>
      </c>
      <c r="E33" s="29">
        <f t="shared" si="0"/>
        <v>0</v>
      </c>
      <c r="F33" s="13">
        <v>9</v>
      </c>
      <c r="G33" s="14">
        <v>0</v>
      </c>
      <c r="H33" s="13">
        <v>17</v>
      </c>
      <c r="I33" s="14">
        <v>47</v>
      </c>
      <c r="J33" s="13">
        <v>0</v>
      </c>
      <c r="K33" s="14">
        <v>0</v>
      </c>
      <c r="L33" s="13">
        <v>0</v>
      </c>
      <c r="M33" s="14">
        <v>0</v>
      </c>
      <c r="N33" s="1"/>
      <c r="O33" s="25">
        <f t="shared" si="3"/>
        <v>8.783333333333335</v>
      </c>
      <c r="P33" s="26">
        <f t="shared" si="1"/>
        <v>8.0833333333333357</v>
      </c>
      <c r="Q33" s="27">
        <f t="shared" si="4"/>
        <v>1.0833333333333357</v>
      </c>
      <c r="R33" s="1"/>
      <c r="S33" s="13">
        <f t="shared" si="5"/>
        <v>9</v>
      </c>
      <c r="T33" s="14">
        <f t="shared" si="5"/>
        <v>0</v>
      </c>
      <c r="U33" s="13">
        <f t="shared" si="6"/>
        <v>17</v>
      </c>
      <c r="V33" s="49">
        <f t="shared" si="7"/>
        <v>47.000000000000099</v>
      </c>
      <c r="W33" s="67"/>
      <c r="X33" s="62"/>
      <c r="Y33" s="61"/>
      <c r="AB33" s="67"/>
      <c r="AC33" s="62"/>
      <c r="AD33" s="61"/>
    </row>
    <row r="34" spans="2:30" x14ac:dyDescent="0.2">
      <c r="D34" s="20">
        <f t="shared" si="2"/>
        <v>44133</v>
      </c>
      <c r="E34" s="29">
        <f t="shared" si="0"/>
        <v>0</v>
      </c>
      <c r="F34" s="13">
        <v>9</v>
      </c>
      <c r="G34" s="14">
        <v>10</v>
      </c>
      <c r="H34" s="13">
        <v>17</v>
      </c>
      <c r="I34" s="14">
        <v>28</v>
      </c>
      <c r="J34" s="13">
        <v>0</v>
      </c>
      <c r="K34" s="14">
        <v>0</v>
      </c>
      <c r="L34" s="13">
        <v>0</v>
      </c>
      <c r="M34" s="14">
        <v>0</v>
      </c>
      <c r="N34" s="1"/>
      <c r="O34" s="25">
        <f t="shared" si="3"/>
        <v>8.2999999999999989</v>
      </c>
      <c r="P34" s="26">
        <f t="shared" si="1"/>
        <v>7.5999999999999988</v>
      </c>
      <c r="Q34" s="27">
        <f t="shared" si="4"/>
        <v>0.59999999999999876</v>
      </c>
      <c r="R34" s="1"/>
      <c r="S34" s="13">
        <f t="shared" si="5"/>
        <v>9</v>
      </c>
      <c r="T34" s="14">
        <f t="shared" si="5"/>
        <v>10</v>
      </c>
      <c r="U34" s="13">
        <f t="shared" si="6"/>
        <v>17</v>
      </c>
      <c r="V34" s="14">
        <f t="shared" si="7"/>
        <v>27.999999999999901</v>
      </c>
      <c r="W34" s="70"/>
      <c r="AB34" s="64"/>
    </row>
    <row r="35" spans="2:30" x14ac:dyDescent="0.2">
      <c r="D35" s="20">
        <f t="shared" si="2"/>
        <v>44134</v>
      </c>
      <c r="E35" s="29">
        <f t="shared" si="0"/>
        <v>0</v>
      </c>
      <c r="F35" s="13">
        <v>8</v>
      </c>
      <c r="G35" s="14">
        <v>59</v>
      </c>
      <c r="H35" s="13">
        <v>12</v>
      </c>
      <c r="I35" s="14">
        <v>28</v>
      </c>
      <c r="J35" s="13">
        <v>0</v>
      </c>
      <c r="K35" s="14">
        <v>0</v>
      </c>
      <c r="L35" s="13">
        <v>0</v>
      </c>
      <c r="M35" s="14">
        <v>0</v>
      </c>
      <c r="N35" s="1"/>
      <c r="O35" s="25">
        <f t="shared" si="3"/>
        <v>3.4833333333333343</v>
      </c>
      <c r="P35" s="26">
        <f t="shared" si="1"/>
        <v>3.4833333333333343</v>
      </c>
      <c r="Q35" s="27">
        <f t="shared" si="4"/>
        <v>-3.5166666666666657</v>
      </c>
      <c r="R35" s="1"/>
      <c r="S35" s="13">
        <f t="shared" si="5"/>
        <v>8</v>
      </c>
      <c r="T35" s="14">
        <f t="shared" si="5"/>
        <v>59</v>
      </c>
      <c r="U35" s="13">
        <f t="shared" si="6"/>
        <v>12</v>
      </c>
      <c r="V35" s="14">
        <f t="shared" si="7"/>
        <v>28.000000000000007</v>
      </c>
    </row>
    <row r="36" spans="2:30" ht="13.5" thickBot="1" x14ac:dyDescent="0.25">
      <c r="D36" s="51">
        <f>IF(D35+1=DATE(2020,B19+1,1),"-",D35+1)</f>
        <v>44135</v>
      </c>
      <c r="E36" s="29">
        <f t="shared" si="0"/>
        <v>1</v>
      </c>
      <c r="F36" s="37" t="s">
        <v>16</v>
      </c>
      <c r="G36" s="38" t="s">
        <v>16</v>
      </c>
      <c r="H36" s="37" t="s">
        <v>16</v>
      </c>
      <c r="I36" s="38" t="s">
        <v>16</v>
      </c>
      <c r="J36" s="37" t="s">
        <v>16</v>
      </c>
      <c r="K36" s="38" t="s">
        <v>16</v>
      </c>
      <c r="L36" s="37" t="s">
        <v>16</v>
      </c>
      <c r="M36" s="38" t="s">
        <v>16</v>
      </c>
      <c r="N36" s="1"/>
      <c r="O36" s="35" t="str">
        <f t="shared" si="3"/>
        <v>-</v>
      </c>
      <c r="P36" s="44">
        <f t="shared" si="1"/>
        <v>0</v>
      </c>
      <c r="Q36" s="36" t="str">
        <f t="shared" si="4"/>
        <v>-</v>
      </c>
      <c r="R36" s="1"/>
      <c r="S36" s="37" t="str">
        <f t="shared" si="5"/>
        <v>-</v>
      </c>
      <c r="T36" s="38" t="str">
        <f t="shared" si="5"/>
        <v>-</v>
      </c>
      <c r="U36" s="37" t="str">
        <f t="shared" si="6"/>
        <v>-</v>
      </c>
      <c r="V36" s="38" t="str">
        <f t="shared" si="7"/>
        <v>-</v>
      </c>
    </row>
    <row r="37" spans="2:30" x14ac:dyDescent="0.2">
      <c r="D37" s="46"/>
      <c r="E37" s="47"/>
      <c r="F37" s="48"/>
      <c r="G37" s="48"/>
      <c r="H37" s="48"/>
      <c r="I37" s="48"/>
      <c r="J37" s="48"/>
      <c r="K37" s="48"/>
      <c r="L37" s="48"/>
      <c r="M37" s="48"/>
      <c r="N37" s="48"/>
      <c r="O37" s="26"/>
      <c r="P37" s="26"/>
      <c r="Q37" s="26"/>
      <c r="R37" s="48"/>
      <c r="S37" s="49"/>
      <c r="T37" s="49"/>
      <c r="U37" s="49"/>
      <c r="V37" s="49"/>
    </row>
    <row r="38" spans="2:30" x14ac:dyDescent="0.2">
      <c r="D38" s="46"/>
      <c r="E38" s="47"/>
      <c r="F38" s="48"/>
      <c r="G38" s="48"/>
      <c r="H38" s="48"/>
      <c r="I38" s="48"/>
      <c r="J38" s="48"/>
      <c r="K38" s="48"/>
      <c r="L38" s="48"/>
      <c r="M38" s="48"/>
      <c r="N38" s="48"/>
      <c r="O38" s="26"/>
      <c r="P38" s="26"/>
      <c r="Q38" s="26"/>
      <c r="R38" s="48"/>
      <c r="S38" s="49"/>
      <c r="T38" s="49"/>
      <c r="U38" s="49"/>
      <c r="V38" s="49"/>
    </row>
    <row r="39" spans="2:30" x14ac:dyDescent="0.2">
      <c r="B39" s="50"/>
      <c r="D39" s="46"/>
      <c r="E39" s="47"/>
      <c r="F39" s="48"/>
      <c r="G39" s="48"/>
      <c r="H39" s="48"/>
      <c r="I39" s="48"/>
      <c r="J39" s="48"/>
      <c r="K39" s="48"/>
      <c r="L39" s="48"/>
      <c r="M39" s="48"/>
      <c r="N39" s="48"/>
      <c r="O39" s="26"/>
      <c r="P39" s="26"/>
      <c r="Q39" s="26"/>
      <c r="R39" s="48"/>
      <c r="S39" s="49"/>
      <c r="T39" s="49"/>
      <c r="U39" s="49"/>
      <c r="V39" s="49"/>
    </row>
    <row r="40" spans="2:30" x14ac:dyDescent="0.2">
      <c r="D40" s="46"/>
      <c r="E40" s="47"/>
      <c r="F40" s="48"/>
      <c r="G40" s="48"/>
      <c r="H40" s="48"/>
      <c r="I40" s="48"/>
      <c r="J40" s="48"/>
      <c r="K40" s="48"/>
      <c r="L40" s="48"/>
      <c r="M40" s="48"/>
      <c r="N40" s="48"/>
      <c r="O40" s="26"/>
      <c r="P40" s="26"/>
      <c r="Q40" s="26"/>
      <c r="R40" s="48"/>
      <c r="S40" s="49"/>
      <c r="T40" s="49"/>
      <c r="U40" s="49"/>
      <c r="V40" s="49"/>
    </row>
    <row r="41" spans="2:30" x14ac:dyDescent="0.2">
      <c r="D41" s="46"/>
      <c r="E41" s="47"/>
      <c r="F41" s="48"/>
      <c r="G41" s="48"/>
      <c r="H41" s="48"/>
      <c r="I41" s="48"/>
      <c r="J41" s="48"/>
      <c r="K41" s="48"/>
      <c r="L41" s="48"/>
      <c r="M41" s="48"/>
      <c r="N41" s="48"/>
      <c r="O41" s="26"/>
      <c r="P41" s="26"/>
      <c r="Q41" s="26"/>
      <c r="R41" s="48"/>
      <c r="S41" s="49"/>
      <c r="T41" s="49"/>
      <c r="U41" s="49"/>
      <c r="V41" s="49"/>
    </row>
    <row r="42" spans="2:30" x14ac:dyDescent="0.2">
      <c r="D42" s="46"/>
      <c r="E42" s="47"/>
      <c r="F42" s="48"/>
      <c r="G42" s="48"/>
      <c r="H42" s="48"/>
      <c r="I42" s="48"/>
      <c r="J42" s="48"/>
      <c r="K42" s="48"/>
      <c r="L42" s="48"/>
      <c r="M42" s="48"/>
      <c r="N42" s="48"/>
      <c r="O42" s="26"/>
      <c r="P42" s="26"/>
      <c r="Q42" s="26"/>
      <c r="R42" s="48"/>
      <c r="S42" s="49"/>
      <c r="T42" s="49"/>
      <c r="U42" s="49"/>
      <c r="V42" s="49"/>
    </row>
    <row r="43" spans="2:30" x14ac:dyDescent="0.2">
      <c r="D43" s="46"/>
      <c r="E43" s="47"/>
      <c r="F43" s="48"/>
      <c r="G43" s="48"/>
      <c r="H43" s="48"/>
      <c r="I43" s="48"/>
      <c r="J43" s="48"/>
      <c r="K43" s="48"/>
      <c r="L43" s="48"/>
      <c r="M43" s="48"/>
      <c r="N43" s="48"/>
      <c r="O43" s="26"/>
      <c r="P43" s="26"/>
      <c r="Q43" s="26"/>
      <c r="R43" s="48"/>
      <c r="S43" s="49"/>
      <c r="T43" s="49"/>
      <c r="U43" s="49"/>
      <c r="V43" s="49"/>
    </row>
    <row r="44" spans="2:30" x14ac:dyDescent="0.2">
      <c r="D44" s="46"/>
      <c r="E44" s="47"/>
      <c r="F44" s="48"/>
      <c r="G44" s="48"/>
      <c r="H44" s="48"/>
      <c r="I44" s="48"/>
      <c r="J44" s="48"/>
      <c r="K44" s="48"/>
      <c r="L44" s="48"/>
      <c r="M44" s="48"/>
      <c r="N44" s="48"/>
      <c r="O44" s="26"/>
      <c r="P44" s="26"/>
      <c r="Q44" s="26"/>
      <c r="R44" s="48"/>
      <c r="S44" s="49"/>
      <c r="T44" s="49"/>
      <c r="U44" s="49"/>
      <c r="V44" s="49"/>
    </row>
    <row r="45" spans="2:30" x14ac:dyDescent="0.2">
      <c r="D45" s="46"/>
      <c r="E45" s="47"/>
      <c r="F45" s="48"/>
      <c r="G45" s="48"/>
      <c r="H45" s="48"/>
      <c r="I45" s="48"/>
      <c r="J45" s="48"/>
      <c r="K45" s="48"/>
      <c r="L45" s="48"/>
      <c r="M45" s="48"/>
      <c r="N45" s="48"/>
      <c r="O45" s="26"/>
      <c r="P45" s="26"/>
      <c r="Q45" s="26"/>
      <c r="R45" s="48"/>
      <c r="S45" s="49"/>
      <c r="T45" s="49"/>
      <c r="U45" s="49"/>
      <c r="V45" s="49"/>
    </row>
    <row r="46" spans="2:30" x14ac:dyDescent="0.2">
      <c r="D46" s="46"/>
      <c r="E46" s="47"/>
      <c r="F46" s="48"/>
      <c r="G46" s="48"/>
      <c r="H46" s="48"/>
      <c r="I46" s="48"/>
      <c r="J46" s="48"/>
      <c r="K46" s="48"/>
      <c r="L46" s="48"/>
      <c r="M46" s="48"/>
      <c r="N46" s="48"/>
      <c r="O46" s="26"/>
      <c r="P46" s="26"/>
      <c r="Q46" s="26"/>
      <c r="R46" s="48"/>
      <c r="S46" s="49"/>
      <c r="T46" s="49"/>
      <c r="U46" s="49"/>
      <c r="V46" s="49"/>
    </row>
    <row r="47" spans="2:30" x14ac:dyDescent="0.2">
      <c r="D47" s="46"/>
      <c r="E47" s="47"/>
      <c r="F47" s="48"/>
      <c r="G47" s="48"/>
      <c r="H47" s="48"/>
      <c r="I47" s="48"/>
      <c r="J47" s="48"/>
      <c r="K47" s="48"/>
      <c r="L47" s="48"/>
      <c r="M47" s="48"/>
      <c r="N47" s="48"/>
      <c r="O47" s="26"/>
      <c r="P47" s="26"/>
      <c r="Q47" s="26"/>
      <c r="R47" s="48"/>
      <c r="S47" s="49"/>
      <c r="T47" s="49"/>
      <c r="U47" s="49"/>
      <c r="V47" s="49"/>
    </row>
  </sheetData>
  <mergeCells count="11">
    <mergeCell ref="U4:V4"/>
    <mergeCell ref="D3:D5"/>
    <mergeCell ref="F3:I3"/>
    <mergeCell ref="J3:M3"/>
    <mergeCell ref="O3:Q4"/>
    <mergeCell ref="S3:V3"/>
    <mergeCell ref="F4:G4"/>
    <mergeCell ref="H4:I4"/>
    <mergeCell ref="J4:K4"/>
    <mergeCell ref="L4:M4"/>
    <mergeCell ref="S4:T4"/>
  </mergeCells>
  <conditionalFormatting sqref="O6:O36">
    <cfRule type="cellIs" dxfId="17" priority="4" operator="between">
      <formula>6.01</formula>
      <formula>6.7</formula>
    </cfRule>
    <cfRule type="cellIs" dxfId="16" priority="5" operator="between">
      <formula>6.001</formula>
      <formula>6.7</formula>
    </cfRule>
    <cfRule type="cellIs" dxfId="15" priority="6" operator="between">
      <formula>6</formula>
      <formula>6.7</formula>
    </cfRule>
  </conditionalFormatting>
  <conditionalFormatting sqref="Q6:Q36">
    <cfRule type="cellIs" dxfId="14" priority="2" operator="greaterThan">
      <formula>0</formula>
    </cfRule>
    <cfRule type="cellIs" dxfId="13" priority="3" operator="lessThan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5114743-5001-439E-8592-D2D585E1F769}">
            <xm:f>NOT(ISERROR(SEARCH("-",Q6)))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Q6:Q36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Z47"/>
  <sheetViews>
    <sheetView showGridLines="0" zoomScaleNormal="100" workbookViewId="0">
      <selection activeCell="S32" sqref="S32:V32"/>
    </sheetView>
  </sheetViews>
  <sheetFormatPr defaultRowHeight="12.75" x14ac:dyDescent="0.2"/>
  <cols>
    <col min="2" max="2" width="22.140625" bestFit="1" customWidth="1"/>
    <col min="5" max="5" width="0.7109375" customWidth="1"/>
    <col min="6" max="6" width="8.140625" bestFit="1" customWidth="1"/>
    <col min="7" max="7" width="12.28515625" bestFit="1" customWidth="1"/>
    <col min="8" max="8" width="8.42578125" bestFit="1" customWidth="1"/>
    <col min="9" max="9" width="12.28515625" bestFit="1" customWidth="1"/>
    <col min="10" max="10" width="8.140625" bestFit="1" customWidth="1"/>
    <col min="11" max="11" width="12.28515625" bestFit="1" customWidth="1"/>
    <col min="12" max="12" width="8.140625" bestFit="1" customWidth="1"/>
    <col min="13" max="13" width="12.28515625" bestFit="1" customWidth="1"/>
    <col min="14" max="14" width="0.85546875" customWidth="1"/>
    <col min="15" max="15" width="13.140625" bestFit="1" customWidth="1"/>
    <col min="16" max="16" width="16.28515625" customWidth="1"/>
    <col min="17" max="17" width="13.5703125" customWidth="1"/>
    <col min="18" max="18" width="0.85546875" customWidth="1"/>
    <col min="19" max="19" width="8.140625" bestFit="1" customWidth="1"/>
    <col min="20" max="20" width="12.28515625" bestFit="1" customWidth="1"/>
    <col min="21" max="21" width="8.140625" bestFit="1" customWidth="1"/>
    <col min="22" max="22" width="12.28515625" bestFit="1" customWidth="1"/>
  </cols>
  <sheetData>
    <row r="2" spans="2:26" ht="13.5" thickBot="1" x14ac:dyDescent="0.25"/>
    <row r="3" spans="2:26" ht="13.5" thickBot="1" x14ac:dyDescent="0.25">
      <c r="B3" s="4" t="s">
        <v>4</v>
      </c>
      <c r="D3" s="77" t="s">
        <v>0</v>
      </c>
      <c r="E3" s="28"/>
      <c r="F3" s="79" t="s">
        <v>14</v>
      </c>
      <c r="G3" s="80"/>
      <c r="H3" s="80"/>
      <c r="I3" s="81"/>
      <c r="J3" s="82" t="s">
        <v>13</v>
      </c>
      <c r="K3" s="83"/>
      <c r="L3" s="83"/>
      <c r="M3" s="84"/>
      <c r="N3" s="1"/>
      <c r="O3" s="85" t="s">
        <v>3</v>
      </c>
      <c r="P3" s="86"/>
      <c r="Q3" s="87"/>
      <c r="S3" s="91" t="s">
        <v>15</v>
      </c>
      <c r="T3" s="92"/>
      <c r="U3" s="92"/>
      <c r="V3" s="93"/>
    </row>
    <row r="4" spans="2:26" ht="13.5" thickBot="1" x14ac:dyDescent="0.25">
      <c r="B4" s="5">
        <v>7</v>
      </c>
      <c r="D4" s="78"/>
      <c r="E4" s="28"/>
      <c r="F4" s="94" t="s">
        <v>1</v>
      </c>
      <c r="G4" s="95"/>
      <c r="H4" s="75" t="s">
        <v>2</v>
      </c>
      <c r="I4" s="76"/>
      <c r="J4" s="94" t="s">
        <v>1</v>
      </c>
      <c r="K4" s="95"/>
      <c r="L4" s="75" t="s">
        <v>2</v>
      </c>
      <c r="M4" s="76"/>
      <c r="N4" s="1"/>
      <c r="O4" s="88"/>
      <c r="P4" s="89"/>
      <c r="Q4" s="90"/>
      <c r="S4" s="94" t="s">
        <v>1</v>
      </c>
      <c r="T4" s="95"/>
      <c r="U4" s="75" t="s">
        <v>2</v>
      </c>
      <c r="V4" s="76"/>
    </row>
    <row r="5" spans="2:26" ht="13.5" thickBot="1" x14ac:dyDescent="0.25">
      <c r="B5" s="1"/>
      <c r="D5" s="78"/>
      <c r="E5" s="28"/>
      <c r="F5" s="2" t="s">
        <v>6</v>
      </c>
      <c r="G5" s="3" t="s">
        <v>7</v>
      </c>
      <c r="H5" s="2" t="s">
        <v>6</v>
      </c>
      <c r="I5" s="3" t="s">
        <v>7</v>
      </c>
      <c r="J5" s="2" t="s">
        <v>6</v>
      </c>
      <c r="K5" s="3" t="s">
        <v>7</v>
      </c>
      <c r="L5" s="2" t="s">
        <v>6</v>
      </c>
      <c r="M5" s="3" t="s">
        <v>7</v>
      </c>
      <c r="N5" s="1"/>
      <c r="O5" s="17" t="s">
        <v>8</v>
      </c>
      <c r="P5" s="60" t="s">
        <v>9</v>
      </c>
      <c r="Q5" s="18" t="s">
        <v>10</v>
      </c>
      <c r="S5" s="17" t="s">
        <v>6</v>
      </c>
      <c r="T5" s="18" t="s">
        <v>7</v>
      </c>
      <c r="U5" s="2" t="s">
        <v>6</v>
      </c>
      <c r="V5" s="3" t="s">
        <v>7</v>
      </c>
    </row>
    <row r="6" spans="2:26" ht="13.5" thickBot="1" x14ac:dyDescent="0.25">
      <c r="B6" s="4" t="s">
        <v>5</v>
      </c>
      <c r="D6" s="19">
        <f>DATE(2020,B19,1)</f>
        <v>44136</v>
      </c>
      <c r="E6" s="29">
        <f>IF(D6="-",0,IF(OR(WEEKDAY(D6)=1,WEEKDAY(D6)=7),1,0))</f>
        <v>1</v>
      </c>
      <c r="F6" s="9" t="s">
        <v>16</v>
      </c>
      <c r="G6" s="10" t="s">
        <v>16</v>
      </c>
      <c r="H6" s="9" t="s">
        <v>16</v>
      </c>
      <c r="I6" s="10" t="s">
        <v>16</v>
      </c>
      <c r="J6" s="9" t="s">
        <v>16</v>
      </c>
      <c r="K6" s="10" t="s">
        <v>16</v>
      </c>
      <c r="L6" s="9" t="s">
        <v>16</v>
      </c>
      <c r="M6" s="10" t="s">
        <v>16</v>
      </c>
      <c r="N6" s="7"/>
      <c r="O6" s="41" t="str">
        <f>IFERROR(((H6+I6/60)-(F6+G6/60))+((L6+M6/60)-(J6+K6/60)), "-")</f>
        <v>-</v>
      </c>
      <c r="P6" s="42">
        <f>IFERROR(IF(AND(O6&gt;=6,O6&lt;=6.7),6,IF(O6&gt;6.7,IF(O6-$B$7&gt;0,O6-$B$7, 0),O6)),0)</f>
        <v>0</v>
      </c>
      <c r="Q6" s="43" t="str">
        <f>IFERROR(IF(P6-$B$4&gt;-7,P6-$B$4, "-"),0)</f>
        <v>-</v>
      </c>
      <c r="R6" s="8"/>
      <c r="S6" s="15" t="str">
        <f>IFERROR(F6, "-")</f>
        <v>-</v>
      </c>
      <c r="T6" s="16" t="str">
        <f>IFERROR(G6, "-")</f>
        <v>-</v>
      </c>
      <c r="U6" s="15" t="str">
        <f>IFERROR(INT(S6+T6/60+O6),"-")</f>
        <v>-</v>
      </c>
      <c r="V6" s="16" t="str">
        <f>IFERROR((S6+T6/60+O6-INT(S6+T6/60+O6))*60,"-")</f>
        <v>-</v>
      </c>
    </row>
    <row r="7" spans="2:26" ht="13.5" thickBot="1" x14ac:dyDescent="0.25">
      <c r="B7" s="6">
        <f>42/60</f>
        <v>0.7</v>
      </c>
      <c r="D7" s="20">
        <f>D6+1</f>
        <v>44137</v>
      </c>
      <c r="E7" s="29">
        <f t="shared" ref="E7:E36" si="0">IF(D7="-",0,IF(OR(WEEKDAY(D7)=1,WEEKDAY(D7)=7),1,0))</f>
        <v>0</v>
      </c>
      <c r="F7" s="11">
        <v>10</v>
      </c>
      <c r="G7" s="12">
        <v>25</v>
      </c>
      <c r="H7" s="11">
        <v>18</v>
      </c>
      <c r="I7" s="12">
        <v>15</v>
      </c>
      <c r="J7" s="11">
        <v>0</v>
      </c>
      <c r="K7" s="12">
        <v>0</v>
      </c>
      <c r="L7" s="11">
        <v>0</v>
      </c>
      <c r="M7" s="12">
        <v>0</v>
      </c>
      <c r="N7" s="7"/>
      <c r="O7" s="25">
        <f>IFERROR(((H7+I7/60)-(F7+G7/60))+((L7+M7/60)-(J7+K7/60)), "-")</f>
        <v>7.8333333333333339</v>
      </c>
      <c r="P7" s="26">
        <f>IFERROR(IF(AND(O7&gt;=6,O7&lt;=6.7),6,IF(O7&gt;6.7,IF(O7-$B$7&gt;0,O7-$B$7, 0),O7)),0)</f>
        <v>7.1333333333333337</v>
      </c>
      <c r="Q7" s="27">
        <f>IFERROR(IF(P7-$B$4&gt;-7,P7-$B$4, "-"),0)</f>
        <v>0.13333333333333375</v>
      </c>
      <c r="R7" s="8"/>
      <c r="S7" s="13">
        <f>IFERROR(F7, "-")</f>
        <v>10</v>
      </c>
      <c r="T7" s="14">
        <f>IFERROR(G7, "-")</f>
        <v>25</v>
      </c>
      <c r="U7" s="13">
        <f>IFERROR(INT(S7+T7/60+O7),"-")</f>
        <v>18</v>
      </c>
      <c r="V7" s="14">
        <f>IFERROR((S7+T7/60+O7-INT(S7+T7/60+O7))*60,"-")</f>
        <v>15</v>
      </c>
    </row>
    <row r="8" spans="2:26" ht="13.5" thickBot="1" x14ac:dyDescent="0.25">
      <c r="D8" s="20">
        <f t="shared" ref="D8:D35" si="1">D7+1</f>
        <v>44138</v>
      </c>
      <c r="E8" s="29">
        <f t="shared" si="0"/>
        <v>0</v>
      </c>
      <c r="F8" s="13">
        <v>9</v>
      </c>
      <c r="G8" s="14">
        <v>30</v>
      </c>
      <c r="H8" s="13">
        <v>17</v>
      </c>
      <c r="I8" s="14">
        <v>27</v>
      </c>
      <c r="J8" s="13">
        <v>0</v>
      </c>
      <c r="K8" s="14">
        <v>0</v>
      </c>
      <c r="L8" s="13">
        <v>0</v>
      </c>
      <c r="M8" s="14">
        <v>0</v>
      </c>
      <c r="N8" s="8"/>
      <c r="O8" s="25">
        <f t="shared" ref="O8:O36" si="2">IFERROR(((H8+I8/60)-(F8+G8/60))+((L8+M8/60)-(J8+K8/60)), "-")</f>
        <v>7.9499999999999993</v>
      </c>
      <c r="P8" s="26">
        <f t="shared" ref="P8:P36" si="3">IFERROR(IF(AND(O8&gt;=6,O8&lt;=6.7),6,IF(O8&gt;6.7,IF(O8-$B$7&gt;0,O8-$B$7, 0),O8)),0)</f>
        <v>7.2499999999999991</v>
      </c>
      <c r="Q8" s="27">
        <f t="shared" ref="Q8:Q36" si="4">IFERROR(IF(P8-$B$4&gt;-7,P8-$B$4, "-"),0)</f>
        <v>0.24999999999999911</v>
      </c>
      <c r="R8" s="8"/>
      <c r="S8" s="13">
        <f t="shared" ref="S8:T36" si="5">IFERROR(F8, "-")</f>
        <v>9</v>
      </c>
      <c r="T8" s="14">
        <f t="shared" si="5"/>
        <v>30</v>
      </c>
      <c r="U8" s="13">
        <f t="shared" ref="U8:U36" si="6">IFERROR(INT(S8+T8/60+O8),"-")</f>
        <v>17</v>
      </c>
      <c r="V8" s="14">
        <f t="shared" ref="V8:V36" si="7">IFERROR((S8+T8/60+O8-INT(S8+T8/60+O8))*60,"-")</f>
        <v>26.999999999999957</v>
      </c>
      <c r="X8" s="32"/>
      <c r="Y8" s="32"/>
      <c r="Z8" s="32"/>
    </row>
    <row r="9" spans="2:26" ht="13.5" thickBot="1" x14ac:dyDescent="0.25">
      <c r="B9" s="4" t="s">
        <v>11</v>
      </c>
      <c r="D9" s="20">
        <f t="shared" si="1"/>
        <v>44139</v>
      </c>
      <c r="E9" s="29">
        <f t="shared" si="0"/>
        <v>0</v>
      </c>
      <c r="F9" s="13">
        <v>9</v>
      </c>
      <c r="G9" s="14">
        <v>13</v>
      </c>
      <c r="H9" s="13">
        <v>17</v>
      </c>
      <c r="I9" s="14">
        <v>27</v>
      </c>
      <c r="J9" s="13">
        <v>0</v>
      </c>
      <c r="K9" s="14">
        <v>0</v>
      </c>
      <c r="L9" s="13">
        <v>0</v>
      </c>
      <c r="M9" s="14">
        <v>0</v>
      </c>
      <c r="N9" s="8"/>
      <c r="O9" s="25">
        <f t="shared" si="2"/>
        <v>8.2333333333333325</v>
      </c>
      <c r="P9" s="26">
        <f t="shared" si="3"/>
        <v>7.5333333333333323</v>
      </c>
      <c r="Q9" s="27">
        <f t="shared" si="4"/>
        <v>0.53333333333333233</v>
      </c>
      <c r="R9" s="8"/>
      <c r="S9" s="13">
        <f t="shared" si="5"/>
        <v>9</v>
      </c>
      <c r="T9" s="14">
        <f t="shared" si="5"/>
        <v>13</v>
      </c>
      <c r="U9" s="13">
        <f t="shared" si="6"/>
        <v>17</v>
      </c>
      <c r="V9" s="14">
        <f t="shared" si="7"/>
        <v>26.999999999999957</v>
      </c>
    </row>
    <row r="10" spans="2:26" ht="13.5" thickBot="1" x14ac:dyDescent="0.25">
      <c r="B10" s="5">
        <f>SUM(O6:O47)</f>
        <v>191.71666666666667</v>
      </c>
      <c r="D10" s="20">
        <f t="shared" si="1"/>
        <v>44140</v>
      </c>
      <c r="E10" s="29">
        <f t="shared" si="0"/>
        <v>0</v>
      </c>
      <c r="F10" s="13">
        <v>9</v>
      </c>
      <c r="G10" s="14">
        <v>10</v>
      </c>
      <c r="H10" s="13">
        <v>17</v>
      </c>
      <c r="I10" s="14">
        <v>47</v>
      </c>
      <c r="J10" s="13">
        <v>0</v>
      </c>
      <c r="K10" s="14">
        <v>0</v>
      </c>
      <c r="L10" s="13">
        <v>0</v>
      </c>
      <c r="M10" s="14">
        <v>0</v>
      </c>
      <c r="O10" s="25">
        <f t="shared" si="2"/>
        <v>8.6166666666666689</v>
      </c>
      <c r="P10" s="26">
        <f t="shared" si="3"/>
        <v>7.9166666666666687</v>
      </c>
      <c r="Q10" s="27">
        <f t="shared" si="4"/>
        <v>0.91666666666666874</v>
      </c>
      <c r="S10" s="13">
        <f t="shared" si="5"/>
        <v>9</v>
      </c>
      <c r="T10" s="14">
        <f t="shared" si="5"/>
        <v>10</v>
      </c>
      <c r="U10" s="13">
        <f t="shared" si="6"/>
        <v>17</v>
      </c>
      <c r="V10" s="14">
        <f t="shared" si="7"/>
        <v>47.000000000000099</v>
      </c>
    </row>
    <row r="11" spans="2:26" ht="13.5" thickBot="1" x14ac:dyDescent="0.25">
      <c r="D11" s="20">
        <f t="shared" si="1"/>
        <v>44141</v>
      </c>
      <c r="E11" s="29">
        <f t="shared" si="0"/>
        <v>0</v>
      </c>
      <c r="F11" s="13">
        <v>8</v>
      </c>
      <c r="G11" s="14">
        <v>30</v>
      </c>
      <c r="H11" s="13">
        <v>16</v>
      </c>
      <c r="I11" s="14">
        <v>44</v>
      </c>
      <c r="J11" s="13">
        <v>0</v>
      </c>
      <c r="K11" s="14">
        <v>0</v>
      </c>
      <c r="L11" s="13">
        <v>0</v>
      </c>
      <c r="M11" s="14">
        <v>0</v>
      </c>
      <c r="O11" s="25">
        <f t="shared" si="2"/>
        <v>8.2333333333333343</v>
      </c>
      <c r="P11" s="26">
        <f t="shared" si="3"/>
        <v>7.5333333333333341</v>
      </c>
      <c r="Q11" s="27">
        <f t="shared" si="4"/>
        <v>0.5333333333333341</v>
      </c>
      <c r="S11" s="13">
        <f t="shared" si="5"/>
        <v>8</v>
      </c>
      <c r="T11" s="14">
        <f t="shared" si="5"/>
        <v>30</v>
      </c>
      <c r="U11" s="13">
        <f t="shared" si="6"/>
        <v>16</v>
      </c>
      <c r="V11" s="14">
        <f t="shared" si="7"/>
        <v>44.000000000000057</v>
      </c>
    </row>
    <row r="12" spans="2:26" ht="13.5" thickBot="1" x14ac:dyDescent="0.25">
      <c r="B12" s="4" t="s">
        <v>12</v>
      </c>
      <c r="D12" s="20">
        <f t="shared" si="1"/>
        <v>44142</v>
      </c>
      <c r="E12" s="29">
        <f t="shared" si="0"/>
        <v>1</v>
      </c>
      <c r="F12" s="13" t="s">
        <v>16</v>
      </c>
      <c r="G12" s="14" t="s">
        <v>16</v>
      </c>
      <c r="H12" s="13" t="s">
        <v>16</v>
      </c>
      <c r="I12" s="14" t="s">
        <v>16</v>
      </c>
      <c r="J12" s="13" t="s">
        <v>16</v>
      </c>
      <c r="K12" s="14" t="s">
        <v>16</v>
      </c>
      <c r="L12" s="13" t="s">
        <v>16</v>
      </c>
      <c r="M12" s="14" t="s">
        <v>16</v>
      </c>
      <c r="O12" s="25" t="str">
        <f t="shared" si="2"/>
        <v>-</v>
      </c>
      <c r="P12" s="26">
        <f t="shared" si="3"/>
        <v>0</v>
      </c>
      <c r="Q12" s="27" t="str">
        <f t="shared" si="4"/>
        <v>-</v>
      </c>
      <c r="S12" s="13" t="str">
        <f t="shared" si="5"/>
        <v>-</v>
      </c>
      <c r="T12" s="14" t="str">
        <f t="shared" si="5"/>
        <v>-</v>
      </c>
      <c r="U12" s="13" t="str">
        <f t="shared" si="6"/>
        <v>-</v>
      </c>
      <c r="V12" s="14" t="str">
        <f t="shared" si="7"/>
        <v>-</v>
      </c>
    </row>
    <row r="13" spans="2:26" ht="13.5" thickBot="1" x14ac:dyDescent="0.25">
      <c r="B13" s="5">
        <f>SUM(Q6:Q47)</f>
        <v>30.01666666666668</v>
      </c>
      <c r="D13" s="20">
        <f t="shared" si="1"/>
        <v>44143</v>
      </c>
      <c r="E13" s="29">
        <f t="shared" si="0"/>
        <v>1</v>
      </c>
      <c r="F13" s="13" t="s">
        <v>16</v>
      </c>
      <c r="G13" s="14" t="s">
        <v>16</v>
      </c>
      <c r="H13" s="13" t="s">
        <v>16</v>
      </c>
      <c r="I13" s="14" t="s">
        <v>16</v>
      </c>
      <c r="J13" s="13" t="s">
        <v>16</v>
      </c>
      <c r="K13" s="14" t="s">
        <v>16</v>
      </c>
      <c r="L13" s="13" t="s">
        <v>16</v>
      </c>
      <c r="M13" s="24" t="s">
        <v>16</v>
      </c>
      <c r="O13" s="25" t="str">
        <f t="shared" si="2"/>
        <v>-</v>
      </c>
      <c r="P13" s="26">
        <f t="shared" si="3"/>
        <v>0</v>
      </c>
      <c r="Q13" s="27" t="str">
        <f t="shared" si="4"/>
        <v>-</v>
      </c>
      <c r="S13" s="13" t="str">
        <f t="shared" si="5"/>
        <v>-</v>
      </c>
      <c r="T13" s="14" t="str">
        <f t="shared" si="5"/>
        <v>-</v>
      </c>
      <c r="U13" s="13" t="str">
        <f t="shared" si="6"/>
        <v>-</v>
      </c>
      <c r="V13" s="14" t="str">
        <f t="shared" si="7"/>
        <v>-</v>
      </c>
    </row>
    <row r="14" spans="2:26" x14ac:dyDescent="0.2">
      <c r="D14" s="20">
        <f t="shared" si="1"/>
        <v>44144</v>
      </c>
      <c r="E14" s="29">
        <f t="shared" si="0"/>
        <v>0</v>
      </c>
      <c r="F14" s="13">
        <v>8</v>
      </c>
      <c r="G14" s="14">
        <v>48</v>
      </c>
      <c r="H14" s="13">
        <v>18</v>
      </c>
      <c r="I14" s="14">
        <v>24</v>
      </c>
      <c r="J14" s="13">
        <v>0</v>
      </c>
      <c r="K14" s="14">
        <v>0</v>
      </c>
      <c r="L14" s="13">
        <v>0</v>
      </c>
      <c r="M14" s="24">
        <v>0</v>
      </c>
      <c r="O14" s="25">
        <f t="shared" si="2"/>
        <v>9.5999999999999979</v>
      </c>
      <c r="P14" s="26">
        <f t="shared" si="3"/>
        <v>8.8999999999999986</v>
      </c>
      <c r="Q14" s="27">
        <f t="shared" si="4"/>
        <v>1.8999999999999986</v>
      </c>
      <c r="S14" s="13">
        <f t="shared" si="5"/>
        <v>8</v>
      </c>
      <c r="T14" s="14">
        <f t="shared" si="5"/>
        <v>48</v>
      </c>
      <c r="U14" s="13">
        <f t="shared" si="6"/>
        <v>18</v>
      </c>
      <c r="V14" s="14">
        <f t="shared" si="7"/>
        <v>23.999999999999915</v>
      </c>
    </row>
    <row r="15" spans="2:26" x14ac:dyDescent="0.2">
      <c r="D15" s="20">
        <f t="shared" si="1"/>
        <v>44145</v>
      </c>
      <c r="E15" s="29">
        <f t="shared" si="0"/>
        <v>0</v>
      </c>
      <c r="F15" s="13">
        <v>9</v>
      </c>
      <c r="G15" s="14">
        <v>39</v>
      </c>
      <c r="H15" s="13">
        <v>18</v>
      </c>
      <c r="I15" s="14">
        <v>45</v>
      </c>
      <c r="J15" s="13">
        <v>0</v>
      </c>
      <c r="K15" s="14">
        <v>0</v>
      </c>
      <c r="L15" s="13">
        <v>0</v>
      </c>
      <c r="M15" s="24">
        <v>0</v>
      </c>
      <c r="O15" s="25">
        <f t="shared" si="2"/>
        <v>9.1</v>
      </c>
      <c r="P15" s="26">
        <f t="shared" si="3"/>
        <v>8.4</v>
      </c>
      <c r="Q15" s="27">
        <f t="shared" si="4"/>
        <v>1.4000000000000004</v>
      </c>
      <c r="S15" s="13">
        <f t="shared" si="5"/>
        <v>9</v>
      </c>
      <c r="T15" s="14">
        <f t="shared" si="5"/>
        <v>39</v>
      </c>
      <c r="U15" s="13">
        <f t="shared" si="6"/>
        <v>18</v>
      </c>
      <c r="V15" s="14">
        <f t="shared" si="7"/>
        <v>45</v>
      </c>
    </row>
    <row r="16" spans="2:26" x14ac:dyDescent="0.2">
      <c r="D16" s="20">
        <f t="shared" si="1"/>
        <v>44146</v>
      </c>
      <c r="E16" s="29">
        <f t="shared" si="0"/>
        <v>0</v>
      </c>
      <c r="F16" s="13">
        <v>8</v>
      </c>
      <c r="G16" s="14">
        <v>53</v>
      </c>
      <c r="H16" s="13">
        <v>18</v>
      </c>
      <c r="I16" s="14">
        <v>35</v>
      </c>
      <c r="J16" s="13">
        <v>0</v>
      </c>
      <c r="K16" s="14">
        <v>0</v>
      </c>
      <c r="L16" s="13">
        <v>0</v>
      </c>
      <c r="M16" s="24">
        <v>0</v>
      </c>
      <c r="O16" s="25">
        <f t="shared" si="2"/>
        <v>9.6999999999999993</v>
      </c>
      <c r="P16" s="26">
        <f t="shared" si="3"/>
        <v>9</v>
      </c>
      <c r="Q16" s="27">
        <f t="shared" si="4"/>
        <v>2</v>
      </c>
      <c r="S16" s="13">
        <f t="shared" si="5"/>
        <v>8</v>
      </c>
      <c r="T16" s="14">
        <f t="shared" si="5"/>
        <v>53</v>
      </c>
      <c r="U16" s="13">
        <f t="shared" si="6"/>
        <v>18</v>
      </c>
      <c r="V16" s="14">
        <f t="shared" si="7"/>
        <v>34.999999999999929</v>
      </c>
    </row>
    <row r="17" spans="2:25" ht="13.5" thickBot="1" x14ac:dyDescent="0.25">
      <c r="D17" s="20">
        <f t="shared" si="1"/>
        <v>44147</v>
      </c>
      <c r="E17" s="29">
        <f t="shared" si="0"/>
        <v>0</v>
      </c>
      <c r="F17" s="13">
        <v>9</v>
      </c>
      <c r="G17" s="14">
        <v>1</v>
      </c>
      <c r="H17" s="13">
        <v>18</v>
      </c>
      <c r="I17" s="14">
        <v>37</v>
      </c>
      <c r="J17" s="13">
        <v>0</v>
      </c>
      <c r="K17" s="14">
        <v>0</v>
      </c>
      <c r="L17" s="13">
        <v>0</v>
      </c>
      <c r="M17" s="14">
        <v>0</v>
      </c>
      <c r="N17" s="1"/>
      <c r="O17" s="25">
        <f t="shared" si="2"/>
        <v>9.6</v>
      </c>
      <c r="P17" s="26">
        <f t="shared" si="3"/>
        <v>8.9</v>
      </c>
      <c r="Q17" s="27">
        <f t="shared" si="4"/>
        <v>1.9000000000000004</v>
      </c>
      <c r="R17" s="1"/>
      <c r="S17" s="13">
        <f t="shared" si="5"/>
        <v>9</v>
      </c>
      <c r="T17" s="14">
        <f t="shared" si="5"/>
        <v>1</v>
      </c>
      <c r="U17" s="13">
        <f t="shared" si="6"/>
        <v>18</v>
      </c>
      <c r="V17" s="14">
        <f t="shared" si="7"/>
        <v>37.000000000000028</v>
      </c>
    </row>
    <row r="18" spans="2:25" ht="13.5" thickBot="1" x14ac:dyDescent="0.25">
      <c r="B18" s="54" t="s">
        <v>17</v>
      </c>
      <c r="D18" s="20">
        <f t="shared" si="1"/>
        <v>44148</v>
      </c>
      <c r="E18" s="29">
        <f t="shared" si="0"/>
        <v>0</v>
      </c>
      <c r="F18" s="13">
        <v>10</v>
      </c>
      <c r="G18" s="14">
        <v>4</v>
      </c>
      <c r="H18" s="13">
        <v>19</v>
      </c>
      <c r="I18" s="14">
        <v>31</v>
      </c>
      <c r="J18" s="13">
        <v>0</v>
      </c>
      <c r="K18" s="14">
        <v>0</v>
      </c>
      <c r="L18" s="13">
        <v>0</v>
      </c>
      <c r="M18" s="14">
        <v>0</v>
      </c>
      <c r="N18" s="1"/>
      <c r="O18" s="25">
        <f t="shared" si="2"/>
        <v>9.4499999999999993</v>
      </c>
      <c r="P18" s="26">
        <f t="shared" si="3"/>
        <v>8.75</v>
      </c>
      <c r="Q18" s="27">
        <f t="shared" si="4"/>
        <v>1.75</v>
      </c>
      <c r="R18" s="1"/>
      <c r="S18" s="13">
        <f t="shared" si="5"/>
        <v>10</v>
      </c>
      <c r="T18" s="14">
        <f t="shared" si="5"/>
        <v>4</v>
      </c>
      <c r="U18" s="13">
        <f t="shared" si="6"/>
        <v>19</v>
      </c>
      <c r="V18" s="14">
        <f t="shared" si="7"/>
        <v>30.999999999999943</v>
      </c>
    </row>
    <row r="19" spans="2:25" ht="13.5" thickBot="1" x14ac:dyDescent="0.25">
      <c r="B19" s="53">
        <v>11</v>
      </c>
      <c r="D19" s="20">
        <f t="shared" si="1"/>
        <v>44149</v>
      </c>
      <c r="E19" s="29">
        <f t="shared" si="0"/>
        <v>1</v>
      </c>
      <c r="F19" s="13" t="s">
        <v>16</v>
      </c>
      <c r="G19" s="14" t="s">
        <v>16</v>
      </c>
      <c r="H19" s="13" t="s">
        <v>16</v>
      </c>
      <c r="I19" s="14" t="s">
        <v>16</v>
      </c>
      <c r="J19" s="13" t="s">
        <v>16</v>
      </c>
      <c r="K19" s="14" t="s">
        <v>16</v>
      </c>
      <c r="L19" s="13" t="s">
        <v>16</v>
      </c>
      <c r="M19" s="14" t="s">
        <v>16</v>
      </c>
      <c r="N19" s="1"/>
      <c r="O19" s="25" t="str">
        <f t="shared" si="2"/>
        <v>-</v>
      </c>
      <c r="P19" s="26">
        <f t="shared" si="3"/>
        <v>0</v>
      </c>
      <c r="Q19" s="27" t="str">
        <f t="shared" si="4"/>
        <v>-</v>
      </c>
      <c r="R19" s="1"/>
      <c r="S19" s="13" t="str">
        <f t="shared" si="5"/>
        <v>-</v>
      </c>
      <c r="T19" s="14" t="str">
        <f t="shared" si="5"/>
        <v>-</v>
      </c>
      <c r="U19" s="13" t="str">
        <f t="shared" si="6"/>
        <v>-</v>
      </c>
      <c r="V19" s="14" t="str">
        <f t="shared" si="7"/>
        <v>-</v>
      </c>
    </row>
    <row r="20" spans="2:25" x14ac:dyDescent="0.2">
      <c r="B20" s="59"/>
      <c r="D20" s="20">
        <f t="shared" si="1"/>
        <v>44150</v>
      </c>
      <c r="E20" s="29">
        <f t="shared" si="0"/>
        <v>1</v>
      </c>
      <c r="F20" s="13" t="s">
        <v>16</v>
      </c>
      <c r="G20" s="14" t="s">
        <v>16</v>
      </c>
      <c r="H20" s="13" t="s">
        <v>16</v>
      </c>
      <c r="I20" s="14" t="s">
        <v>16</v>
      </c>
      <c r="J20" s="13" t="s">
        <v>16</v>
      </c>
      <c r="K20" s="14" t="s">
        <v>16</v>
      </c>
      <c r="L20" s="13" t="s">
        <v>16</v>
      </c>
      <c r="M20" s="14" t="s">
        <v>16</v>
      </c>
      <c r="N20" s="1"/>
      <c r="O20" s="25" t="str">
        <f t="shared" si="2"/>
        <v>-</v>
      </c>
      <c r="P20" s="26">
        <f t="shared" si="3"/>
        <v>0</v>
      </c>
      <c r="Q20" s="27" t="str">
        <f t="shared" si="4"/>
        <v>-</v>
      </c>
      <c r="R20" s="1"/>
      <c r="S20" s="13" t="str">
        <f t="shared" si="5"/>
        <v>-</v>
      </c>
      <c r="T20" s="14" t="str">
        <f t="shared" si="5"/>
        <v>-</v>
      </c>
      <c r="U20" s="13" t="str">
        <f t="shared" si="6"/>
        <v>-</v>
      </c>
      <c r="V20" s="14" t="str">
        <f t="shared" si="7"/>
        <v>-</v>
      </c>
    </row>
    <row r="21" spans="2:25" x14ac:dyDescent="0.2">
      <c r="B21" s="32"/>
      <c r="D21" s="20">
        <f t="shared" si="1"/>
        <v>44151</v>
      </c>
      <c r="E21" s="29">
        <f t="shared" si="0"/>
        <v>0</v>
      </c>
      <c r="F21" s="13">
        <v>9</v>
      </c>
      <c r="G21" s="14">
        <v>30</v>
      </c>
      <c r="H21" s="13">
        <v>19</v>
      </c>
      <c r="I21" s="14">
        <v>11</v>
      </c>
      <c r="J21" s="13">
        <v>0</v>
      </c>
      <c r="K21" s="14">
        <v>0</v>
      </c>
      <c r="L21" s="13">
        <v>0</v>
      </c>
      <c r="M21" s="14">
        <v>0</v>
      </c>
      <c r="N21" s="1"/>
      <c r="O21" s="25">
        <f t="shared" si="2"/>
        <v>9.6833333333333336</v>
      </c>
      <c r="P21" s="26">
        <f t="shared" si="3"/>
        <v>8.9833333333333343</v>
      </c>
      <c r="Q21" s="27">
        <f t="shared" si="4"/>
        <v>1.9833333333333343</v>
      </c>
      <c r="R21" s="1"/>
      <c r="S21" s="13">
        <f t="shared" si="5"/>
        <v>9</v>
      </c>
      <c r="T21" s="14">
        <f t="shared" si="5"/>
        <v>30</v>
      </c>
      <c r="U21" s="13">
        <f t="shared" si="6"/>
        <v>19</v>
      </c>
      <c r="V21" s="14">
        <f t="shared" si="7"/>
        <v>11.000000000000014</v>
      </c>
    </row>
    <row r="22" spans="2:25" ht="13.5" thickBot="1" x14ac:dyDescent="0.25">
      <c r="B22" s="32"/>
      <c r="D22" s="20">
        <f t="shared" si="1"/>
        <v>44152</v>
      </c>
      <c r="E22" s="29">
        <f t="shared" si="0"/>
        <v>0</v>
      </c>
      <c r="F22" s="13">
        <v>8</v>
      </c>
      <c r="G22" s="14">
        <v>50</v>
      </c>
      <c r="H22" s="13">
        <v>17</v>
      </c>
      <c r="I22" s="14">
        <v>35</v>
      </c>
      <c r="J22" s="13">
        <v>0</v>
      </c>
      <c r="K22" s="14">
        <v>0</v>
      </c>
      <c r="L22" s="13">
        <v>0</v>
      </c>
      <c r="M22" s="14">
        <v>0</v>
      </c>
      <c r="N22" s="1"/>
      <c r="O22" s="25">
        <f t="shared" si="2"/>
        <v>8.7499999999999982</v>
      </c>
      <c r="P22" s="26">
        <f t="shared" si="3"/>
        <v>8.0499999999999989</v>
      </c>
      <c r="Q22" s="27">
        <f t="shared" si="4"/>
        <v>1.0499999999999989</v>
      </c>
      <c r="R22" s="1"/>
      <c r="S22" s="13">
        <f t="shared" si="5"/>
        <v>8</v>
      </c>
      <c r="T22" s="14">
        <f t="shared" si="5"/>
        <v>50</v>
      </c>
      <c r="U22" s="13">
        <f t="shared" si="6"/>
        <v>17</v>
      </c>
      <c r="V22" s="14">
        <f t="shared" si="7"/>
        <v>34.999999999999929</v>
      </c>
    </row>
    <row r="23" spans="2:25" ht="13.5" thickBot="1" x14ac:dyDescent="0.25">
      <c r="B23" s="32"/>
      <c r="D23" s="20">
        <f t="shared" si="1"/>
        <v>44153</v>
      </c>
      <c r="E23" s="29">
        <f t="shared" si="0"/>
        <v>0</v>
      </c>
      <c r="F23" s="13">
        <v>9</v>
      </c>
      <c r="G23" s="14">
        <v>6</v>
      </c>
      <c r="H23" s="13">
        <v>18</v>
      </c>
      <c r="I23" s="14">
        <v>43</v>
      </c>
      <c r="J23" s="13">
        <v>0</v>
      </c>
      <c r="K23" s="14">
        <v>0</v>
      </c>
      <c r="L23" s="13">
        <v>0</v>
      </c>
      <c r="M23" s="24">
        <v>0</v>
      </c>
      <c r="N23" s="1"/>
      <c r="O23" s="25">
        <f t="shared" si="2"/>
        <v>9.6166666666666654</v>
      </c>
      <c r="P23" s="26">
        <f t="shared" si="3"/>
        <v>8.9166666666666661</v>
      </c>
      <c r="Q23" s="27">
        <f t="shared" si="4"/>
        <v>1.9166666666666661</v>
      </c>
      <c r="R23" s="1"/>
      <c r="S23" s="13">
        <f t="shared" si="5"/>
        <v>9</v>
      </c>
      <c r="T23" s="14">
        <f t="shared" si="5"/>
        <v>6</v>
      </c>
      <c r="U23" s="13">
        <f t="shared" si="6"/>
        <v>18</v>
      </c>
      <c r="V23" s="14">
        <f t="shared" si="7"/>
        <v>42.999999999999901</v>
      </c>
      <c r="Y23" s="31"/>
    </row>
    <row r="24" spans="2:25" ht="13.5" thickBot="1" x14ac:dyDescent="0.25">
      <c r="B24" s="32"/>
      <c r="D24" s="20">
        <f t="shared" si="1"/>
        <v>44154</v>
      </c>
      <c r="E24" s="29">
        <f t="shared" si="0"/>
        <v>0</v>
      </c>
      <c r="F24" s="13">
        <v>10</v>
      </c>
      <c r="G24" s="14">
        <v>22</v>
      </c>
      <c r="H24" s="13">
        <v>18</v>
      </c>
      <c r="I24" s="14">
        <v>52</v>
      </c>
      <c r="J24" s="13">
        <v>0</v>
      </c>
      <c r="K24" s="14">
        <v>0</v>
      </c>
      <c r="L24" s="13">
        <v>0</v>
      </c>
      <c r="M24" s="14">
        <v>0</v>
      </c>
      <c r="N24" s="1"/>
      <c r="O24" s="25">
        <f t="shared" si="2"/>
        <v>8.5</v>
      </c>
      <c r="P24" s="26">
        <f t="shared" si="3"/>
        <v>7.8</v>
      </c>
      <c r="Q24" s="27">
        <f t="shared" si="4"/>
        <v>0.79999999999999982</v>
      </c>
      <c r="R24" s="1"/>
      <c r="S24" s="13">
        <f t="shared" si="5"/>
        <v>10</v>
      </c>
      <c r="T24" s="14">
        <f t="shared" si="5"/>
        <v>22</v>
      </c>
      <c r="U24" s="13">
        <f t="shared" si="6"/>
        <v>18</v>
      </c>
      <c r="V24" s="14">
        <f t="shared" si="7"/>
        <v>52.000000000000028</v>
      </c>
    </row>
    <row r="25" spans="2:25" ht="13.5" thickBot="1" x14ac:dyDescent="0.25">
      <c r="D25" s="20">
        <f t="shared" si="1"/>
        <v>44155</v>
      </c>
      <c r="E25" s="29">
        <f t="shared" si="0"/>
        <v>0</v>
      </c>
      <c r="F25" s="13">
        <v>8</v>
      </c>
      <c r="G25" s="14">
        <v>34</v>
      </c>
      <c r="H25" s="13">
        <v>18</v>
      </c>
      <c r="I25" s="14">
        <v>27</v>
      </c>
      <c r="J25" s="13">
        <v>0</v>
      </c>
      <c r="K25" s="14">
        <v>0</v>
      </c>
      <c r="L25" s="13">
        <v>0</v>
      </c>
      <c r="M25" s="14">
        <v>0</v>
      </c>
      <c r="N25" s="1"/>
      <c r="O25" s="25">
        <f t="shared" si="2"/>
        <v>9.8833333333333329</v>
      </c>
      <c r="P25" s="26">
        <f t="shared" si="3"/>
        <v>9.1833333333333336</v>
      </c>
      <c r="Q25" s="27">
        <f t="shared" si="4"/>
        <v>2.1833333333333336</v>
      </c>
      <c r="R25" s="1"/>
      <c r="S25" s="13">
        <f t="shared" si="5"/>
        <v>8</v>
      </c>
      <c r="T25" s="14">
        <f t="shared" si="5"/>
        <v>34</v>
      </c>
      <c r="U25" s="13">
        <f t="shared" si="6"/>
        <v>18</v>
      </c>
      <c r="V25" s="14">
        <f t="shared" si="7"/>
        <v>26.999999999999957</v>
      </c>
      <c r="X25" s="31"/>
    </row>
    <row r="26" spans="2:25" x14ac:dyDescent="0.2">
      <c r="D26" s="20">
        <f t="shared" si="1"/>
        <v>44156</v>
      </c>
      <c r="E26" s="29">
        <f t="shared" si="0"/>
        <v>1</v>
      </c>
      <c r="F26" s="13" t="s">
        <v>16</v>
      </c>
      <c r="G26" s="14" t="s">
        <v>16</v>
      </c>
      <c r="H26" s="13" t="s">
        <v>16</v>
      </c>
      <c r="I26" s="14" t="s">
        <v>16</v>
      </c>
      <c r="J26" s="13" t="s">
        <v>16</v>
      </c>
      <c r="K26" s="14" t="s">
        <v>16</v>
      </c>
      <c r="L26" s="13" t="s">
        <v>16</v>
      </c>
      <c r="M26" s="14" t="s">
        <v>16</v>
      </c>
      <c r="N26" s="1"/>
      <c r="O26" s="25" t="str">
        <f t="shared" si="2"/>
        <v>-</v>
      </c>
      <c r="P26" s="26">
        <f t="shared" si="3"/>
        <v>0</v>
      </c>
      <c r="Q26" s="27" t="str">
        <f t="shared" si="4"/>
        <v>-</v>
      </c>
      <c r="R26" s="1"/>
      <c r="S26" s="13" t="str">
        <f t="shared" si="5"/>
        <v>-</v>
      </c>
      <c r="T26" s="14" t="str">
        <f t="shared" si="5"/>
        <v>-</v>
      </c>
      <c r="U26" s="13" t="str">
        <f t="shared" si="6"/>
        <v>-</v>
      </c>
      <c r="V26" s="14" t="str">
        <f t="shared" si="7"/>
        <v>-</v>
      </c>
    </row>
    <row r="27" spans="2:25" x14ac:dyDescent="0.2">
      <c r="D27" s="20">
        <f t="shared" si="1"/>
        <v>44157</v>
      </c>
      <c r="E27" s="29">
        <f t="shared" si="0"/>
        <v>1</v>
      </c>
      <c r="F27" s="13" t="s">
        <v>16</v>
      </c>
      <c r="G27" s="14" t="s">
        <v>16</v>
      </c>
      <c r="H27" s="13" t="s">
        <v>16</v>
      </c>
      <c r="I27" s="14" t="s">
        <v>16</v>
      </c>
      <c r="J27" s="13" t="s">
        <v>16</v>
      </c>
      <c r="K27" s="14" t="s">
        <v>16</v>
      </c>
      <c r="L27" s="13" t="s">
        <v>16</v>
      </c>
      <c r="M27" s="14" t="s">
        <v>16</v>
      </c>
      <c r="N27" s="1"/>
      <c r="O27" s="25" t="str">
        <f t="shared" si="2"/>
        <v>-</v>
      </c>
      <c r="P27" s="26">
        <f t="shared" si="3"/>
        <v>0</v>
      </c>
      <c r="Q27" s="27" t="str">
        <f t="shared" si="4"/>
        <v>-</v>
      </c>
      <c r="R27" s="1"/>
      <c r="S27" s="13" t="str">
        <f t="shared" si="5"/>
        <v>-</v>
      </c>
      <c r="T27" s="14" t="str">
        <f t="shared" si="5"/>
        <v>-</v>
      </c>
      <c r="U27" s="13" t="str">
        <f t="shared" si="6"/>
        <v>-</v>
      </c>
      <c r="V27" s="14" t="str">
        <f t="shared" si="7"/>
        <v>-</v>
      </c>
    </row>
    <row r="28" spans="2:25" x14ac:dyDescent="0.2">
      <c r="D28" s="20">
        <f t="shared" si="1"/>
        <v>44158</v>
      </c>
      <c r="E28" s="29">
        <f t="shared" si="0"/>
        <v>0</v>
      </c>
      <c r="F28" s="13">
        <v>10</v>
      </c>
      <c r="G28" s="14">
        <v>21</v>
      </c>
      <c r="H28" s="13">
        <v>19</v>
      </c>
      <c r="I28" s="14">
        <v>10</v>
      </c>
      <c r="J28" s="13">
        <v>0</v>
      </c>
      <c r="K28" s="14">
        <v>0</v>
      </c>
      <c r="L28" s="13">
        <v>0</v>
      </c>
      <c r="M28" s="14">
        <v>0</v>
      </c>
      <c r="N28" s="1"/>
      <c r="O28" s="25">
        <f t="shared" si="2"/>
        <v>8.8166666666666682</v>
      </c>
      <c r="P28" s="26">
        <f t="shared" si="3"/>
        <v>8.1166666666666689</v>
      </c>
      <c r="Q28" s="27">
        <f t="shared" si="4"/>
        <v>1.1166666666666689</v>
      </c>
      <c r="R28" s="1"/>
      <c r="S28" s="13">
        <f t="shared" si="5"/>
        <v>10</v>
      </c>
      <c r="T28" s="14">
        <f t="shared" si="5"/>
        <v>21</v>
      </c>
      <c r="U28" s="13">
        <f t="shared" si="6"/>
        <v>19</v>
      </c>
      <c r="V28" s="14">
        <f t="shared" si="7"/>
        <v>10.000000000000071</v>
      </c>
    </row>
    <row r="29" spans="2:25" x14ac:dyDescent="0.2">
      <c r="D29" s="20">
        <f t="shared" si="1"/>
        <v>44159</v>
      </c>
      <c r="E29" s="29">
        <f t="shared" si="0"/>
        <v>0</v>
      </c>
      <c r="F29" s="13">
        <v>8</v>
      </c>
      <c r="G29" s="14">
        <v>54</v>
      </c>
      <c r="H29" s="13">
        <v>19</v>
      </c>
      <c r="I29" s="14">
        <v>32</v>
      </c>
      <c r="J29" s="13">
        <v>0</v>
      </c>
      <c r="K29" s="14">
        <v>0</v>
      </c>
      <c r="L29" s="13">
        <v>0</v>
      </c>
      <c r="M29" s="14">
        <v>0</v>
      </c>
      <c r="N29" s="1"/>
      <c r="O29" s="25">
        <f t="shared" si="2"/>
        <v>10.633333333333335</v>
      </c>
      <c r="P29" s="26">
        <f t="shared" si="3"/>
        <v>9.9333333333333353</v>
      </c>
      <c r="Q29" s="27">
        <f t="shared" si="4"/>
        <v>2.9333333333333353</v>
      </c>
      <c r="R29" s="1"/>
      <c r="S29" s="13">
        <f t="shared" si="5"/>
        <v>8</v>
      </c>
      <c r="T29" s="14">
        <f t="shared" si="5"/>
        <v>54</v>
      </c>
      <c r="U29" s="13">
        <f t="shared" si="6"/>
        <v>19</v>
      </c>
      <c r="V29" s="14">
        <f t="shared" si="7"/>
        <v>32.000000000000099</v>
      </c>
    </row>
    <row r="30" spans="2:25" x14ac:dyDescent="0.2">
      <c r="D30" s="20">
        <f t="shared" si="1"/>
        <v>44160</v>
      </c>
      <c r="E30" s="29">
        <f t="shared" si="0"/>
        <v>0</v>
      </c>
      <c r="F30" s="13">
        <v>9</v>
      </c>
      <c r="G30" s="14">
        <v>10</v>
      </c>
      <c r="H30" s="13">
        <v>18</v>
      </c>
      <c r="I30" s="14">
        <v>50</v>
      </c>
      <c r="J30" s="13">
        <v>0</v>
      </c>
      <c r="K30" s="14">
        <v>0</v>
      </c>
      <c r="L30" s="13">
        <v>0</v>
      </c>
      <c r="M30" s="14">
        <v>0</v>
      </c>
      <c r="N30" s="1"/>
      <c r="O30" s="25">
        <f t="shared" si="2"/>
        <v>9.6666666666666661</v>
      </c>
      <c r="P30" s="26">
        <f t="shared" si="3"/>
        <v>8.9666666666666668</v>
      </c>
      <c r="Q30" s="27">
        <f t="shared" si="4"/>
        <v>1.9666666666666668</v>
      </c>
      <c r="R30" s="1"/>
      <c r="S30" s="13">
        <f t="shared" si="5"/>
        <v>9</v>
      </c>
      <c r="T30" s="14">
        <f t="shared" si="5"/>
        <v>10</v>
      </c>
      <c r="U30" s="13">
        <f t="shared" si="6"/>
        <v>18</v>
      </c>
      <c r="V30" s="14">
        <f t="shared" si="7"/>
        <v>49.999999999999929</v>
      </c>
    </row>
    <row r="31" spans="2:25" x14ac:dyDescent="0.2">
      <c r="D31" s="20">
        <f t="shared" si="1"/>
        <v>44161</v>
      </c>
      <c r="E31" s="29">
        <f t="shared" si="0"/>
        <v>0</v>
      </c>
      <c r="F31" s="13">
        <v>9</v>
      </c>
      <c r="G31" s="14">
        <v>19</v>
      </c>
      <c r="H31" s="13">
        <v>19</v>
      </c>
      <c r="I31" s="14">
        <v>7</v>
      </c>
      <c r="J31" s="13">
        <v>0</v>
      </c>
      <c r="K31" s="14">
        <v>0</v>
      </c>
      <c r="L31" s="13">
        <v>0</v>
      </c>
      <c r="M31" s="14">
        <v>0</v>
      </c>
      <c r="N31" s="1"/>
      <c r="O31" s="25">
        <f t="shared" si="2"/>
        <v>9.8000000000000007</v>
      </c>
      <c r="P31" s="26">
        <f t="shared" si="3"/>
        <v>9.1000000000000014</v>
      </c>
      <c r="Q31" s="27">
        <f t="shared" si="4"/>
        <v>2.1000000000000014</v>
      </c>
      <c r="R31" s="1"/>
      <c r="S31" s="13">
        <f t="shared" si="5"/>
        <v>9</v>
      </c>
      <c r="T31" s="14">
        <f t="shared" si="5"/>
        <v>19</v>
      </c>
      <c r="U31" s="13">
        <f t="shared" si="6"/>
        <v>19</v>
      </c>
      <c r="V31" s="14">
        <f t="shared" si="7"/>
        <v>7.0000000000000284</v>
      </c>
    </row>
    <row r="32" spans="2:25" x14ac:dyDescent="0.2">
      <c r="D32" s="20">
        <f t="shared" si="1"/>
        <v>44162</v>
      </c>
      <c r="E32" s="29">
        <f t="shared" si="0"/>
        <v>0</v>
      </c>
      <c r="F32" s="13">
        <v>9</v>
      </c>
      <c r="G32" s="14">
        <v>10</v>
      </c>
      <c r="H32" s="13">
        <v>9</v>
      </c>
      <c r="I32" s="14">
        <v>10</v>
      </c>
      <c r="J32" s="13">
        <v>9</v>
      </c>
      <c r="K32" s="14">
        <v>10</v>
      </c>
      <c r="L32" s="13">
        <v>18</v>
      </c>
      <c r="M32" s="14">
        <v>10</v>
      </c>
      <c r="N32" s="1"/>
      <c r="O32" s="25">
        <f t="shared" si="2"/>
        <v>9.0000000000000018</v>
      </c>
      <c r="P32" s="26">
        <f t="shared" si="3"/>
        <v>8.3000000000000025</v>
      </c>
      <c r="Q32" s="27">
        <f t="shared" si="4"/>
        <v>1.3000000000000025</v>
      </c>
      <c r="R32" s="1"/>
      <c r="S32" s="13">
        <f t="shared" si="5"/>
        <v>9</v>
      </c>
      <c r="T32" s="14">
        <f t="shared" si="5"/>
        <v>10</v>
      </c>
      <c r="U32" s="13">
        <f t="shared" si="6"/>
        <v>18</v>
      </c>
      <c r="V32" s="14">
        <f t="shared" si="7"/>
        <v>10.000000000000071</v>
      </c>
    </row>
    <row r="33" spans="2:22" x14ac:dyDescent="0.2">
      <c r="D33" s="20">
        <f t="shared" si="1"/>
        <v>44163</v>
      </c>
      <c r="E33" s="29">
        <f t="shared" si="0"/>
        <v>1</v>
      </c>
      <c r="F33" s="13" t="s">
        <v>16</v>
      </c>
      <c r="G33" s="14" t="s">
        <v>16</v>
      </c>
      <c r="H33" s="13" t="s">
        <v>16</v>
      </c>
      <c r="I33" s="14" t="s">
        <v>16</v>
      </c>
      <c r="J33" s="13" t="s">
        <v>16</v>
      </c>
      <c r="K33" s="14" t="s">
        <v>16</v>
      </c>
      <c r="L33" s="13" t="s">
        <v>16</v>
      </c>
      <c r="M33" s="14" t="s">
        <v>16</v>
      </c>
      <c r="N33" s="1"/>
      <c r="O33" s="25" t="str">
        <f t="shared" si="2"/>
        <v>-</v>
      </c>
      <c r="P33" s="26">
        <f t="shared" si="3"/>
        <v>0</v>
      </c>
      <c r="Q33" s="27" t="str">
        <f t="shared" si="4"/>
        <v>-</v>
      </c>
      <c r="R33" s="1"/>
      <c r="S33" s="13" t="str">
        <f t="shared" si="5"/>
        <v>-</v>
      </c>
      <c r="T33" s="14" t="str">
        <f t="shared" si="5"/>
        <v>-</v>
      </c>
      <c r="U33" s="13" t="str">
        <f t="shared" si="6"/>
        <v>-</v>
      </c>
      <c r="V33" s="14" t="str">
        <f t="shared" si="7"/>
        <v>-</v>
      </c>
    </row>
    <row r="34" spans="2:22" x14ac:dyDescent="0.2">
      <c r="D34" s="20">
        <f t="shared" si="1"/>
        <v>44164</v>
      </c>
      <c r="E34" s="29">
        <f t="shared" si="0"/>
        <v>1</v>
      </c>
      <c r="F34" s="13" t="s">
        <v>16</v>
      </c>
      <c r="G34" s="14" t="s">
        <v>16</v>
      </c>
      <c r="H34" s="13" t="s">
        <v>16</v>
      </c>
      <c r="I34" s="14" t="s">
        <v>16</v>
      </c>
      <c r="J34" s="13" t="s">
        <v>16</v>
      </c>
      <c r="K34" s="14" t="s">
        <v>16</v>
      </c>
      <c r="L34" s="13" t="s">
        <v>16</v>
      </c>
      <c r="M34" s="14" t="s">
        <v>16</v>
      </c>
      <c r="N34" s="1"/>
      <c r="O34" s="25" t="str">
        <f t="shared" si="2"/>
        <v>-</v>
      </c>
      <c r="P34" s="26">
        <f t="shared" si="3"/>
        <v>0</v>
      </c>
      <c r="Q34" s="27" t="str">
        <f t="shared" si="4"/>
        <v>-</v>
      </c>
      <c r="R34" s="1"/>
      <c r="S34" s="13" t="str">
        <f t="shared" si="5"/>
        <v>-</v>
      </c>
      <c r="T34" s="14" t="str">
        <f t="shared" si="5"/>
        <v>-</v>
      </c>
      <c r="U34" s="13" t="str">
        <f t="shared" si="6"/>
        <v>-</v>
      </c>
      <c r="V34" s="14" t="str">
        <f t="shared" si="7"/>
        <v>-</v>
      </c>
    </row>
    <row r="35" spans="2:22" x14ac:dyDescent="0.2">
      <c r="D35" s="20">
        <f t="shared" si="1"/>
        <v>44165</v>
      </c>
      <c r="E35" s="29">
        <f t="shared" si="0"/>
        <v>0</v>
      </c>
      <c r="F35" s="13">
        <v>10</v>
      </c>
      <c r="G35" s="14">
        <v>20</v>
      </c>
      <c r="H35" s="13">
        <v>19</v>
      </c>
      <c r="I35" s="14">
        <v>23</v>
      </c>
      <c r="J35" s="13">
        <v>0</v>
      </c>
      <c r="K35" s="14">
        <v>0</v>
      </c>
      <c r="L35" s="13">
        <v>0</v>
      </c>
      <c r="M35" s="14">
        <v>0</v>
      </c>
      <c r="N35" s="1"/>
      <c r="O35" s="25">
        <f t="shared" si="2"/>
        <v>9.0499999999999989</v>
      </c>
      <c r="P35" s="26">
        <f t="shared" si="3"/>
        <v>8.35</v>
      </c>
      <c r="Q35" s="27">
        <f t="shared" si="4"/>
        <v>1.3499999999999996</v>
      </c>
      <c r="R35" s="1"/>
      <c r="S35" s="13">
        <f t="shared" si="5"/>
        <v>10</v>
      </c>
      <c r="T35" s="14">
        <f t="shared" si="5"/>
        <v>20</v>
      </c>
      <c r="U35" s="13">
        <f t="shared" si="6"/>
        <v>19</v>
      </c>
      <c r="V35" s="14">
        <f t="shared" si="7"/>
        <v>22.999999999999972</v>
      </c>
    </row>
    <row r="36" spans="2:22" ht="13.5" thickBot="1" x14ac:dyDescent="0.25">
      <c r="D36" s="51" t="str">
        <f>IF(D35+1=DATE(2020,B19+1,1),"-",D35+1)</f>
        <v>-</v>
      </c>
      <c r="E36" s="29">
        <f t="shared" si="0"/>
        <v>0</v>
      </c>
      <c r="F36" s="37"/>
      <c r="G36" s="38"/>
      <c r="H36" s="37"/>
      <c r="I36" s="38"/>
      <c r="J36" s="37"/>
      <c r="K36" s="38"/>
      <c r="L36" s="37"/>
      <c r="M36" s="38"/>
      <c r="N36" s="1"/>
      <c r="O36" s="35">
        <f t="shared" si="2"/>
        <v>0</v>
      </c>
      <c r="P36" s="44">
        <f t="shared" si="3"/>
        <v>0</v>
      </c>
      <c r="Q36" s="36" t="str">
        <f t="shared" si="4"/>
        <v>-</v>
      </c>
      <c r="R36" s="1"/>
      <c r="S36" s="37">
        <f t="shared" si="5"/>
        <v>0</v>
      </c>
      <c r="T36" s="38">
        <f t="shared" si="5"/>
        <v>0</v>
      </c>
      <c r="U36" s="37">
        <f t="shared" si="6"/>
        <v>0</v>
      </c>
      <c r="V36" s="38">
        <f t="shared" si="7"/>
        <v>0</v>
      </c>
    </row>
    <row r="37" spans="2:22" x14ac:dyDescent="0.2">
      <c r="D37" s="46"/>
      <c r="E37" s="47"/>
      <c r="F37" s="48"/>
      <c r="G37" s="48"/>
      <c r="H37" s="48"/>
      <c r="I37" s="48"/>
      <c r="J37" s="48"/>
      <c r="K37" s="48"/>
      <c r="L37" s="48"/>
      <c r="M37" s="48"/>
      <c r="N37" s="48"/>
      <c r="O37" s="26"/>
      <c r="P37" s="26"/>
      <c r="Q37" s="26"/>
      <c r="R37" s="48"/>
      <c r="S37" s="49"/>
      <c r="T37" s="49"/>
      <c r="U37" s="49"/>
      <c r="V37" s="49"/>
    </row>
    <row r="38" spans="2:22" x14ac:dyDescent="0.2">
      <c r="D38" s="46"/>
      <c r="E38" s="47"/>
      <c r="F38" s="48"/>
      <c r="G38" s="48"/>
      <c r="H38" s="48"/>
      <c r="I38" s="48"/>
      <c r="J38" s="48"/>
      <c r="K38" s="48"/>
      <c r="L38" s="48"/>
      <c r="M38" s="48"/>
      <c r="N38" s="48"/>
      <c r="O38" s="26"/>
      <c r="P38" s="26"/>
      <c r="Q38" s="26"/>
      <c r="R38" s="48"/>
      <c r="S38" s="49"/>
      <c r="T38" s="49"/>
      <c r="U38" s="49"/>
      <c r="V38" s="49"/>
    </row>
    <row r="39" spans="2:22" x14ac:dyDescent="0.2">
      <c r="B39" s="50"/>
      <c r="D39" s="46"/>
      <c r="E39" s="47"/>
      <c r="F39" s="48"/>
      <c r="G39" s="48"/>
      <c r="H39" s="48"/>
      <c r="I39" s="48"/>
      <c r="J39" s="48"/>
      <c r="K39" s="48"/>
      <c r="L39" s="48"/>
      <c r="M39" s="48"/>
      <c r="N39" s="48"/>
      <c r="O39" s="26"/>
      <c r="P39" s="26"/>
      <c r="Q39" s="26"/>
      <c r="R39" s="48"/>
      <c r="S39" s="49"/>
      <c r="T39" s="49"/>
      <c r="U39" s="49"/>
      <c r="V39" s="49"/>
    </row>
    <row r="40" spans="2:22" x14ac:dyDescent="0.2">
      <c r="D40" s="46"/>
      <c r="E40" s="47"/>
      <c r="F40" s="48"/>
      <c r="G40" s="48"/>
      <c r="H40" s="48"/>
      <c r="I40" s="48"/>
      <c r="J40" s="48"/>
      <c r="K40" s="48"/>
      <c r="L40" s="48"/>
      <c r="M40" s="48"/>
      <c r="N40" s="48"/>
      <c r="O40" s="26"/>
      <c r="P40" s="26"/>
      <c r="Q40" s="26"/>
      <c r="R40" s="48"/>
      <c r="S40" s="49"/>
      <c r="T40" s="49"/>
      <c r="U40" s="49"/>
      <c r="V40" s="49"/>
    </row>
    <row r="41" spans="2:22" x14ac:dyDescent="0.2">
      <c r="D41" s="46"/>
      <c r="E41" s="47"/>
      <c r="F41" s="48"/>
      <c r="G41" s="48"/>
      <c r="H41" s="48"/>
      <c r="I41" s="48"/>
      <c r="J41" s="48"/>
      <c r="K41" s="48"/>
      <c r="L41" s="48"/>
      <c r="M41" s="48"/>
      <c r="N41" s="48"/>
      <c r="O41" s="26"/>
      <c r="P41" s="26"/>
      <c r="Q41" s="26"/>
      <c r="R41" s="48"/>
      <c r="S41" s="49"/>
      <c r="T41" s="49"/>
      <c r="U41" s="49"/>
      <c r="V41" s="49"/>
    </row>
    <row r="42" spans="2:22" x14ac:dyDescent="0.2">
      <c r="D42" s="46"/>
      <c r="E42" s="47"/>
      <c r="F42" s="48"/>
      <c r="G42" s="48"/>
      <c r="H42" s="48"/>
      <c r="I42" s="48"/>
      <c r="J42" s="48"/>
      <c r="K42" s="48"/>
      <c r="L42" s="48"/>
      <c r="M42" s="48"/>
      <c r="N42" s="48"/>
      <c r="O42" s="26"/>
      <c r="P42" s="26"/>
      <c r="Q42" s="26"/>
      <c r="R42" s="48"/>
      <c r="S42" s="49"/>
      <c r="T42" s="49"/>
      <c r="U42" s="49"/>
      <c r="V42" s="49"/>
    </row>
    <row r="43" spans="2:22" x14ac:dyDescent="0.2">
      <c r="D43" s="46"/>
      <c r="E43" s="47"/>
      <c r="F43" s="48"/>
      <c r="G43" s="48"/>
      <c r="H43" s="48"/>
      <c r="I43" s="48"/>
      <c r="J43" s="48"/>
      <c r="K43" s="48"/>
      <c r="L43" s="48"/>
      <c r="M43" s="48"/>
      <c r="N43" s="48"/>
      <c r="O43" s="26"/>
      <c r="P43" s="26"/>
      <c r="Q43" s="26"/>
      <c r="R43" s="48"/>
      <c r="S43" s="49"/>
      <c r="T43" s="49"/>
      <c r="U43" s="49"/>
      <c r="V43" s="49"/>
    </row>
    <row r="44" spans="2:22" x14ac:dyDescent="0.2">
      <c r="D44" s="46"/>
      <c r="E44" s="47"/>
      <c r="F44" s="48"/>
      <c r="G44" s="48"/>
      <c r="H44" s="48"/>
      <c r="I44" s="48"/>
      <c r="J44" s="48"/>
      <c r="K44" s="48"/>
      <c r="L44" s="48"/>
      <c r="M44" s="48"/>
      <c r="N44" s="48"/>
      <c r="O44" s="26"/>
      <c r="P44" s="26"/>
      <c r="Q44" s="26"/>
      <c r="R44" s="48"/>
      <c r="S44" s="49"/>
      <c r="T44" s="49"/>
      <c r="U44" s="49"/>
      <c r="V44" s="49"/>
    </row>
    <row r="45" spans="2:22" x14ac:dyDescent="0.2">
      <c r="D45" s="46"/>
      <c r="E45" s="47"/>
      <c r="F45" s="48"/>
      <c r="G45" s="48"/>
      <c r="H45" s="48"/>
      <c r="I45" s="48"/>
      <c r="J45" s="48"/>
      <c r="K45" s="48"/>
      <c r="L45" s="48"/>
      <c r="M45" s="48"/>
      <c r="N45" s="48"/>
      <c r="O45" s="26"/>
      <c r="P45" s="26"/>
      <c r="Q45" s="26"/>
      <c r="R45" s="48"/>
      <c r="S45" s="49"/>
      <c r="T45" s="49"/>
      <c r="U45" s="49"/>
      <c r="V45" s="49"/>
    </row>
    <row r="46" spans="2:22" x14ac:dyDescent="0.2">
      <c r="D46" s="46"/>
      <c r="E46" s="47"/>
      <c r="F46" s="48"/>
      <c r="G46" s="48"/>
      <c r="H46" s="48"/>
      <c r="I46" s="48"/>
      <c r="J46" s="48"/>
      <c r="K46" s="48"/>
      <c r="L46" s="48"/>
      <c r="M46" s="48"/>
      <c r="N46" s="48"/>
      <c r="O46" s="26"/>
      <c r="P46" s="26"/>
      <c r="Q46" s="26"/>
      <c r="R46" s="48"/>
      <c r="S46" s="49"/>
      <c r="T46" s="49"/>
      <c r="U46" s="49"/>
      <c r="V46" s="49"/>
    </row>
    <row r="47" spans="2:22" x14ac:dyDescent="0.2">
      <c r="D47" s="46"/>
      <c r="E47" s="47"/>
      <c r="F47" s="48"/>
      <c r="G47" s="48"/>
      <c r="H47" s="48"/>
      <c r="I47" s="48"/>
      <c r="J47" s="48"/>
      <c r="K47" s="48"/>
      <c r="L47" s="48"/>
      <c r="M47" s="48"/>
      <c r="N47" s="48"/>
      <c r="O47" s="26"/>
      <c r="P47" s="26"/>
      <c r="Q47" s="26"/>
      <c r="R47" s="48"/>
      <c r="S47" s="49"/>
      <c r="T47" s="49"/>
      <c r="U47" s="49"/>
      <c r="V47" s="49"/>
    </row>
  </sheetData>
  <mergeCells count="11">
    <mergeCell ref="U4:V4"/>
    <mergeCell ref="D3:D5"/>
    <mergeCell ref="F3:I3"/>
    <mergeCell ref="J3:M3"/>
    <mergeCell ref="O3:Q4"/>
    <mergeCell ref="S3:V3"/>
    <mergeCell ref="F4:G4"/>
    <mergeCell ref="H4:I4"/>
    <mergeCell ref="J4:K4"/>
    <mergeCell ref="L4:M4"/>
    <mergeCell ref="S4:T4"/>
  </mergeCells>
  <conditionalFormatting sqref="O6:O36">
    <cfRule type="cellIs" dxfId="11" priority="4" operator="between">
      <formula>6</formula>
      <formula>6.7</formula>
    </cfRule>
  </conditionalFormatting>
  <conditionalFormatting sqref="Q6:Q36">
    <cfRule type="cellIs" dxfId="10" priority="2" operator="greaterThan">
      <formula>0</formula>
    </cfRule>
    <cfRule type="cellIs" dxfId="9" priority="3" operator="lessThan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FE15DDA-17E5-4B6F-A4AF-F6B0429B7725}">
            <xm:f>NOT(ISERROR(SEARCH("-",Q6)))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Q6:Q36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Z47"/>
  <sheetViews>
    <sheetView showGridLines="0" zoomScaleNormal="100" workbookViewId="0">
      <selection activeCell="P21" sqref="P21"/>
    </sheetView>
  </sheetViews>
  <sheetFormatPr defaultRowHeight="12.75" x14ac:dyDescent="0.2"/>
  <cols>
    <col min="2" max="2" width="22.140625" bestFit="1" customWidth="1"/>
    <col min="5" max="5" width="0.7109375" customWidth="1"/>
    <col min="6" max="6" width="8.140625" bestFit="1" customWidth="1"/>
    <col min="7" max="7" width="12.28515625" bestFit="1" customWidth="1"/>
    <col min="8" max="8" width="8.140625" bestFit="1" customWidth="1"/>
    <col min="9" max="9" width="12.28515625" bestFit="1" customWidth="1"/>
    <col min="10" max="10" width="8.140625" bestFit="1" customWidth="1"/>
    <col min="11" max="11" width="12.28515625" bestFit="1" customWidth="1"/>
    <col min="12" max="12" width="8.140625" bestFit="1" customWidth="1"/>
    <col min="13" max="13" width="12.28515625" bestFit="1" customWidth="1"/>
    <col min="14" max="14" width="0.85546875" customWidth="1"/>
    <col min="15" max="15" width="13.140625" bestFit="1" customWidth="1"/>
    <col min="16" max="16" width="16.28515625" customWidth="1"/>
    <col min="17" max="17" width="13.5703125" customWidth="1"/>
    <col min="18" max="18" width="0.85546875" customWidth="1"/>
    <col min="19" max="19" width="8.140625" bestFit="1" customWidth="1"/>
    <col min="20" max="20" width="12.28515625" bestFit="1" customWidth="1"/>
    <col min="21" max="21" width="8.140625" bestFit="1" customWidth="1"/>
    <col min="22" max="22" width="12.28515625" bestFit="1" customWidth="1"/>
  </cols>
  <sheetData>
    <row r="2" spans="2:26" ht="13.5" thickBot="1" x14ac:dyDescent="0.25"/>
    <row r="3" spans="2:26" ht="13.5" thickBot="1" x14ac:dyDescent="0.25">
      <c r="B3" s="4" t="s">
        <v>4</v>
      </c>
      <c r="D3" s="77" t="s">
        <v>0</v>
      </c>
      <c r="E3" s="28"/>
      <c r="F3" s="79" t="s">
        <v>14</v>
      </c>
      <c r="G3" s="80"/>
      <c r="H3" s="80"/>
      <c r="I3" s="81"/>
      <c r="J3" s="82" t="s">
        <v>13</v>
      </c>
      <c r="K3" s="83"/>
      <c r="L3" s="83"/>
      <c r="M3" s="84"/>
      <c r="N3" s="1"/>
      <c r="O3" s="85" t="s">
        <v>3</v>
      </c>
      <c r="P3" s="86"/>
      <c r="Q3" s="87"/>
      <c r="S3" s="91" t="s">
        <v>15</v>
      </c>
      <c r="T3" s="92"/>
      <c r="U3" s="92"/>
      <c r="V3" s="93"/>
    </row>
    <row r="4" spans="2:26" ht="13.5" thickBot="1" x14ac:dyDescent="0.25">
      <c r="B4" s="5">
        <v>7</v>
      </c>
      <c r="D4" s="78"/>
      <c r="E4" s="28"/>
      <c r="F4" s="94" t="s">
        <v>1</v>
      </c>
      <c r="G4" s="95"/>
      <c r="H4" s="75" t="s">
        <v>2</v>
      </c>
      <c r="I4" s="76"/>
      <c r="J4" s="94" t="s">
        <v>1</v>
      </c>
      <c r="K4" s="95"/>
      <c r="L4" s="75" t="s">
        <v>2</v>
      </c>
      <c r="M4" s="76"/>
      <c r="N4" s="1"/>
      <c r="O4" s="88"/>
      <c r="P4" s="89"/>
      <c r="Q4" s="90"/>
      <c r="S4" s="94" t="s">
        <v>1</v>
      </c>
      <c r="T4" s="95"/>
      <c r="U4" s="75" t="s">
        <v>2</v>
      </c>
      <c r="V4" s="76"/>
    </row>
    <row r="5" spans="2:26" ht="13.5" thickBot="1" x14ac:dyDescent="0.25">
      <c r="B5" s="1"/>
      <c r="D5" s="78"/>
      <c r="E5" s="28"/>
      <c r="F5" s="2" t="s">
        <v>6</v>
      </c>
      <c r="G5" s="3" t="s">
        <v>7</v>
      </c>
      <c r="H5" s="2" t="s">
        <v>6</v>
      </c>
      <c r="I5" s="3" t="s">
        <v>7</v>
      </c>
      <c r="J5" s="2" t="s">
        <v>6</v>
      </c>
      <c r="K5" s="3" t="s">
        <v>7</v>
      </c>
      <c r="L5" s="2" t="s">
        <v>6</v>
      </c>
      <c r="M5" s="3" t="s">
        <v>7</v>
      </c>
      <c r="N5" s="1"/>
      <c r="O5" s="17" t="s">
        <v>8</v>
      </c>
      <c r="P5" s="60" t="s">
        <v>9</v>
      </c>
      <c r="Q5" s="18" t="s">
        <v>10</v>
      </c>
      <c r="S5" s="17" t="s">
        <v>6</v>
      </c>
      <c r="T5" s="18" t="s">
        <v>7</v>
      </c>
      <c r="U5" s="2" t="s">
        <v>6</v>
      </c>
      <c r="V5" s="3" t="s">
        <v>7</v>
      </c>
    </row>
    <row r="6" spans="2:26" ht="13.5" thickBot="1" x14ac:dyDescent="0.25">
      <c r="B6" s="4" t="s">
        <v>5</v>
      </c>
      <c r="D6" s="19">
        <f>IF(D5="-","-",IF(D5+1=DATE(2020,13,1),"-",DATE(2020,12,1)))</f>
        <v>44166</v>
      </c>
      <c r="E6" s="29">
        <f>IF(D6="-",0,IF(OR(WEEKDAY(D6)=1,WEEKDAY(D6)=7),1,0))</f>
        <v>0</v>
      </c>
      <c r="F6" s="9">
        <v>8</v>
      </c>
      <c r="G6" s="10">
        <v>37</v>
      </c>
      <c r="H6" s="9">
        <v>19</v>
      </c>
      <c r="I6" s="10">
        <v>7</v>
      </c>
      <c r="J6" s="9">
        <v>0</v>
      </c>
      <c r="K6" s="10">
        <v>0</v>
      </c>
      <c r="L6" s="9">
        <v>0</v>
      </c>
      <c r="M6" s="10">
        <v>0</v>
      </c>
      <c r="N6" s="7"/>
      <c r="O6" s="41">
        <f>IFERROR(((H6+I6/60)-(F6+G6/60))+((L6+M6/60)-(J6+K6/60)), "-")</f>
        <v>10.5</v>
      </c>
      <c r="P6" s="42">
        <f>IFERROR(IF(AND(O6&gt;=6,O6&lt;=6.7),6,IF(O6&gt;6.7,IF(O6-$B$7&gt;0,O6-$B$7, 0),O6)),0)</f>
        <v>9.8000000000000007</v>
      </c>
      <c r="Q6" s="43">
        <f>IFERROR(IF(P6-$B$4&gt;-7,P6-$B$4, "-"),0)</f>
        <v>2.8000000000000007</v>
      </c>
      <c r="R6" s="8"/>
      <c r="S6" s="15">
        <f>IFERROR(F6, "-")</f>
        <v>8</v>
      </c>
      <c r="T6" s="16">
        <f>IFERROR(G6, "-")</f>
        <v>37</v>
      </c>
      <c r="U6" s="15">
        <f>IFERROR(INT(S6+T6/60+O6),"-")</f>
        <v>19</v>
      </c>
      <c r="V6" s="16">
        <f>IFERROR((S6+T6/60+O6-INT(S6+T6/60+O6))*60,"-")</f>
        <v>7.0000000000000284</v>
      </c>
    </row>
    <row r="7" spans="2:26" ht="13.5" thickBot="1" x14ac:dyDescent="0.25">
      <c r="B7" s="6">
        <f>42/60</f>
        <v>0.7</v>
      </c>
      <c r="D7" s="20">
        <f>IF(D6="-","-",IF(D6+1=DATE(2020,13,1),"-",DATE(2020,12,2)))</f>
        <v>44167</v>
      </c>
      <c r="E7" s="29">
        <f t="shared" ref="E7:E36" si="0">IF(D7="-",0,IF(OR(WEEKDAY(D7)=1,WEEKDAY(D7)=7),1,0))</f>
        <v>0</v>
      </c>
      <c r="F7" s="11">
        <v>8</v>
      </c>
      <c r="G7" s="12">
        <v>28</v>
      </c>
      <c r="H7" s="11">
        <v>18</v>
      </c>
      <c r="I7" s="12">
        <v>17</v>
      </c>
      <c r="J7" s="11">
        <v>0</v>
      </c>
      <c r="K7" s="12">
        <v>0</v>
      </c>
      <c r="L7" s="11">
        <v>0</v>
      </c>
      <c r="M7" s="12">
        <v>0</v>
      </c>
      <c r="N7" s="7"/>
      <c r="O7" s="25">
        <f>IFERROR(((H7+I7/60)-(F7+G7/60))+((L7+M7/60)-(J7+K7/60)), "-")</f>
        <v>9.8166666666666682</v>
      </c>
      <c r="P7" s="26">
        <f>IFERROR(IF(AND(O7&gt;=6,O7&lt;=6.7),6,IF(O7&gt;6.7,IF(O7-$B$7&gt;0,O7-$B$7, 0),O7)),0)</f>
        <v>9.1166666666666689</v>
      </c>
      <c r="Q7" s="27">
        <f>IFERROR(IF(P7-$B$4&gt;-7,P7-$B$4, "-"),0)</f>
        <v>2.1166666666666689</v>
      </c>
      <c r="R7" s="8"/>
      <c r="S7" s="13">
        <f>IFERROR(F7, "-")</f>
        <v>8</v>
      </c>
      <c r="T7" s="14">
        <f>IFERROR(G7, "-")</f>
        <v>28</v>
      </c>
      <c r="U7" s="13">
        <f>IFERROR(INT(S7+T7/60+O7),"-")</f>
        <v>18</v>
      </c>
      <c r="V7" s="14">
        <f>IFERROR((S7+T7/60+O7-INT(S7+T7/60+O7))*60,"-")</f>
        <v>17.000000000000099</v>
      </c>
    </row>
    <row r="8" spans="2:26" ht="13.5" thickBot="1" x14ac:dyDescent="0.25">
      <c r="D8" s="20">
        <f>IF(D7="-","-",IF(D7+1=DATE(2020,13,1),"-",DATE(2020,12,3)))</f>
        <v>44168</v>
      </c>
      <c r="E8" s="29">
        <f t="shared" si="0"/>
        <v>0</v>
      </c>
      <c r="F8" s="13">
        <v>7</v>
      </c>
      <c r="G8" s="14">
        <v>58</v>
      </c>
      <c r="H8" s="13">
        <v>17</v>
      </c>
      <c r="I8" s="14">
        <v>58</v>
      </c>
      <c r="J8" s="13">
        <v>0</v>
      </c>
      <c r="K8" s="14">
        <v>0</v>
      </c>
      <c r="L8" s="13">
        <v>0</v>
      </c>
      <c r="M8" s="14">
        <v>0</v>
      </c>
      <c r="N8" s="8"/>
      <c r="O8" s="25">
        <f t="shared" ref="O8:O36" si="1">IFERROR(((H8+I8/60)-(F8+G8/60))+((L8+M8/60)-(J8+K8/60)), "-")</f>
        <v>9.9999999999999982</v>
      </c>
      <c r="P8" s="26">
        <f t="shared" ref="P8:P36" si="2">IFERROR(IF(AND(O8&gt;=6,O8&lt;=6.7),6,IF(O8&gt;6.7,IF(O8-$B$7&gt;0,O8-$B$7, 0),O8)),0)</f>
        <v>9.2999999999999989</v>
      </c>
      <c r="Q8" s="27">
        <f t="shared" ref="Q8:Q36" si="3">IFERROR(IF(P8-$B$4&gt;-7,P8-$B$4, "-"),0)</f>
        <v>2.2999999999999989</v>
      </c>
      <c r="R8" s="8"/>
      <c r="S8" s="13">
        <f t="shared" ref="S8:T36" si="4">IFERROR(F8, "-")</f>
        <v>7</v>
      </c>
      <c r="T8" s="14">
        <f t="shared" si="4"/>
        <v>58</v>
      </c>
      <c r="U8" s="13">
        <f t="shared" ref="U8:U36" si="5">IFERROR(INT(S8+T8/60+O8),"-")</f>
        <v>17</v>
      </c>
      <c r="V8" s="14">
        <f t="shared" ref="V8:V36" si="6">IFERROR((S8+T8/60+O8-INT(S8+T8/60+O8))*60,"-")</f>
        <v>57.999999999999901</v>
      </c>
      <c r="X8" s="32"/>
      <c r="Y8" s="32"/>
      <c r="Z8" s="32"/>
    </row>
    <row r="9" spans="2:26" ht="13.5" thickBot="1" x14ac:dyDescent="0.25">
      <c r="B9" s="4" t="s">
        <v>11</v>
      </c>
      <c r="D9" s="20">
        <f>IF(D8="-","-",IF(D8+1=DATE(2020,13,1),"-",DATE(2020,12,4)))</f>
        <v>44169</v>
      </c>
      <c r="E9" s="29">
        <f t="shared" si="0"/>
        <v>0</v>
      </c>
      <c r="F9" s="13">
        <v>9</v>
      </c>
      <c r="G9" s="14">
        <v>0</v>
      </c>
      <c r="H9" s="13">
        <v>9</v>
      </c>
      <c r="I9" s="14">
        <v>0</v>
      </c>
      <c r="J9" s="13">
        <v>9</v>
      </c>
      <c r="K9" s="14">
        <v>0</v>
      </c>
      <c r="L9" s="13">
        <v>16</v>
      </c>
      <c r="M9" s="14">
        <v>50</v>
      </c>
      <c r="N9" s="8"/>
      <c r="O9" s="25">
        <f t="shared" si="1"/>
        <v>7.8333333333333321</v>
      </c>
      <c r="P9" s="26">
        <f t="shared" si="2"/>
        <v>7.133333333333332</v>
      </c>
      <c r="Q9" s="27">
        <f t="shared" si="3"/>
        <v>0.13333333333333197</v>
      </c>
      <c r="R9" s="8"/>
      <c r="S9" s="13">
        <f t="shared" si="4"/>
        <v>9</v>
      </c>
      <c r="T9" s="14">
        <f t="shared" si="4"/>
        <v>0</v>
      </c>
      <c r="U9" s="13">
        <f t="shared" si="5"/>
        <v>16</v>
      </c>
      <c r="V9" s="14">
        <f t="shared" si="6"/>
        <v>49.999999999999929</v>
      </c>
    </row>
    <row r="10" spans="2:26" ht="13.5" thickBot="1" x14ac:dyDescent="0.25">
      <c r="B10" s="5">
        <f>SUM(O6:O47)</f>
        <v>115.86666666666667</v>
      </c>
      <c r="D10" s="20">
        <f>IF(D9="-","-",IF(D9+1=DATE(2020,13,1),"-",DATE(2020,12,5)))</f>
        <v>44170</v>
      </c>
      <c r="E10" s="29">
        <f t="shared" si="0"/>
        <v>1</v>
      </c>
      <c r="F10" s="13" t="s">
        <v>16</v>
      </c>
      <c r="G10" s="14" t="s">
        <v>16</v>
      </c>
      <c r="H10" s="13" t="s">
        <v>16</v>
      </c>
      <c r="I10" s="14" t="s">
        <v>16</v>
      </c>
      <c r="J10" s="13" t="s">
        <v>16</v>
      </c>
      <c r="K10" s="14" t="s">
        <v>16</v>
      </c>
      <c r="L10" s="13" t="s">
        <v>16</v>
      </c>
      <c r="M10" s="14" t="s">
        <v>16</v>
      </c>
      <c r="O10" s="25" t="str">
        <f t="shared" si="1"/>
        <v>-</v>
      </c>
      <c r="P10" s="26">
        <f t="shared" si="2"/>
        <v>0</v>
      </c>
      <c r="Q10" s="27" t="str">
        <f t="shared" si="3"/>
        <v>-</v>
      </c>
      <c r="S10" s="13" t="str">
        <f t="shared" si="4"/>
        <v>-</v>
      </c>
      <c r="T10" s="14" t="str">
        <f t="shared" si="4"/>
        <v>-</v>
      </c>
      <c r="U10" s="13" t="str">
        <f t="shared" si="5"/>
        <v>-</v>
      </c>
      <c r="V10" s="14" t="str">
        <f t="shared" si="6"/>
        <v>-</v>
      </c>
    </row>
    <row r="11" spans="2:26" ht="13.5" thickBot="1" x14ac:dyDescent="0.25">
      <c r="D11" s="20">
        <f>IF(D10="-","-",IF(D10+1=DATE(2020,13,1),"-",DATE(2020,12,6)))</f>
        <v>44171</v>
      </c>
      <c r="E11" s="29">
        <f t="shared" si="0"/>
        <v>1</v>
      </c>
      <c r="F11" s="22" t="s">
        <v>16</v>
      </c>
      <c r="G11" s="23" t="s">
        <v>16</v>
      </c>
      <c r="H11" s="22" t="s">
        <v>16</v>
      </c>
      <c r="I11" s="23" t="s">
        <v>16</v>
      </c>
      <c r="J11" s="22" t="s">
        <v>16</v>
      </c>
      <c r="K11" s="23" t="s">
        <v>16</v>
      </c>
      <c r="L11" s="22" t="s">
        <v>16</v>
      </c>
      <c r="M11" s="23" t="s">
        <v>16</v>
      </c>
      <c r="O11" s="25" t="str">
        <f t="shared" si="1"/>
        <v>-</v>
      </c>
      <c r="P11" s="26">
        <f t="shared" si="2"/>
        <v>0</v>
      </c>
      <c r="Q11" s="27" t="str">
        <f t="shared" si="3"/>
        <v>-</v>
      </c>
      <c r="S11" s="13" t="str">
        <f t="shared" si="4"/>
        <v>-</v>
      </c>
      <c r="T11" s="14" t="str">
        <f t="shared" si="4"/>
        <v>-</v>
      </c>
      <c r="U11" s="13" t="str">
        <f t="shared" si="5"/>
        <v>-</v>
      </c>
      <c r="V11" s="14" t="str">
        <f t="shared" si="6"/>
        <v>-</v>
      </c>
    </row>
    <row r="12" spans="2:26" ht="13.5" thickBot="1" x14ac:dyDescent="0.25">
      <c r="B12" s="4" t="s">
        <v>12</v>
      </c>
      <c r="D12" s="20">
        <f>IF(D11="-","-",IF(D11+1=DATE(2020,13,1),"-",DATE(2020,12,7)))</f>
        <v>44172</v>
      </c>
      <c r="E12" s="29">
        <f t="shared" si="0"/>
        <v>0</v>
      </c>
      <c r="F12" s="13">
        <v>10</v>
      </c>
      <c r="G12" s="14">
        <v>18</v>
      </c>
      <c r="H12" s="13">
        <v>19</v>
      </c>
      <c r="I12" s="14">
        <v>37</v>
      </c>
      <c r="J12" s="13">
        <v>0</v>
      </c>
      <c r="K12" s="14">
        <v>0</v>
      </c>
      <c r="L12" s="13">
        <v>0</v>
      </c>
      <c r="M12" s="14">
        <v>0</v>
      </c>
      <c r="O12" s="25">
        <f t="shared" si="1"/>
        <v>9.3166666666666664</v>
      </c>
      <c r="P12" s="26">
        <f t="shared" si="2"/>
        <v>8.6166666666666671</v>
      </c>
      <c r="Q12" s="27">
        <f t="shared" si="3"/>
        <v>1.6166666666666671</v>
      </c>
      <c r="S12" s="13">
        <f t="shared" si="4"/>
        <v>10</v>
      </c>
      <c r="T12" s="14">
        <f t="shared" si="4"/>
        <v>18</v>
      </c>
      <c r="U12" s="13">
        <f t="shared" si="5"/>
        <v>19</v>
      </c>
      <c r="V12" s="14">
        <f t="shared" si="6"/>
        <v>37.000000000000028</v>
      </c>
    </row>
    <row r="13" spans="2:26" ht="13.5" thickBot="1" x14ac:dyDescent="0.25">
      <c r="B13" s="5">
        <f>SUM(Q6:Q47)</f>
        <v>15.766666666666673</v>
      </c>
      <c r="D13" s="20">
        <f>IF(D12="-","-",IF(D12+1=DATE(2020,13,1),"-",DATE(2020,12,8)))</f>
        <v>44173</v>
      </c>
      <c r="E13" s="29">
        <f t="shared" si="0"/>
        <v>0</v>
      </c>
      <c r="F13" s="13">
        <v>9</v>
      </c>
      <c r="G13" s="14">
        <v>8</v>
      </c>
      <c r="H13" s="13">
        <v>17</v>
      </c>
      <c r="I13" s="14">
        <v>48</v>
      </c>
      <c r="J13" s="13">
        <v>0</v>
      </c>
      <c r="K13" s="14">
        <v>0</v>
      </c>
      <c r="L13" s="13">
        <v>0</v>
      </c>
      <c r="M13" s="24">
        <v>0</v>
      </c>
      <c r="O13" s="25">
        <f t="shared" si="1"/>
        <v>8.6666666666666679</v>
      </c>
      <c r="P13" s="26">
        <f t="shared" si="2"/>
        <v>7.9666666666666677</v>
      </c>
      <c r="Q13" s="27">
        <f t="shared" si="3"/>
        <v>0.96666666666666767</v>
      </c>
      <c r="S13" s="13">
        <f t="shared" si="4"/>
        <v>9</v>
      </c>
      <c r="T13" s="14">
        <f t="shared" si="4"/>
        <v>8</v>
      </c>
      <c r="U13" s="13">
        <f t="shared" si="5"/>
        <v>17</v>
      </c>
      <c r="V13" s="14">
        <f t="shared" si="6"/>
        <v>48.000000000000043</v>
      </c>
    </row>
    <row r="14" spans="2:26" x14ac:dyDescent="0.2">
      <c r="D14" s="20">
        <f>IF(D13="-","-",IF(D13+1=DATE(2020,13,1),"-",DATE(2020,12,9)))</f>
        <v>44174</v>
      </c>
      <c r="E14" s="29">
        <f t="shared" si="0"/>
        <v>0</v>
      </c>
      <c r="F14" s="13">
        <v>10</v>
      </c>
      <c r="G14" s="14">
        <v>22</v>
      </c>
      <c r="H14" s="13">
        <v>18</v>
      </c>
      <c r="I14" s="14">
        <v>7</v>
      </c>
      <c r="J14" s="13">
        <v>0</v>
      </c>
      <c r="K14" s="14">
        <v>0</v>
      </c>
      <c r="L14" s="13">
        <v>0</v>
      </c>
      <c r="M14" s="24">
        <v>0</v>
      </c>
      <c r="O14" s="25">
        <f t="shared" si="1"/>
        <v>7.75</v>
      </c>
      <c r="P14" s="26">
        <f t="shared" si="2"/>
        <v>7.05</v>
      </c>
      <c r="Q14" s="27">
        <f t="shared" si="3"/>
        <v>4.9999999999999822E-2</v>
      </c>
      <c r="S14" s="13">
        <f t="shared" si="4"/>
        <v>10</v>
      </c>
      <c r="T14" s="14">
        <f t="shared" si="4"/>
        <v>22</v>
      </c>
      <c r="U14" s="13">
        <f t="shared" si="5"/>
        <v>18</v>
      </c>
      <c r="V14" s="14">
        <f t="shared" si="6"/>
        <v>7.0000000000000284</v>
      </c>
    </row>
    <row r="15" spans="2:26" x14ac:dyDescent="0.2">
      <c r="D15" s="20">
        <f>IF(D14="-","-",IF(D14+1=DATE(2020,13,1),"-",DATE(2020,12,10)))</f>
        <v>44175</v>
      </c>
      <c r="E15" s="29">
        <f t="shared" si="0"/>
        <v>0</v>
      </c>
      <c r="F15" s="13">
        <v>10</v>
      </c>
      <c r="G15" s="14">
        <v>3</v>
      </c>
      <c r="H15" s="13">
        <v>17</v>
      </c>
      <c r="I15" s="14">
        <v>57</v>
      </c>
      <c r="J15" s="13">
        <v>0</v>
      </c>
      <c r="K15" s="14">
        <v>0</v>
      </c>
      <c r="L15" s="13">
        <v>0</v>
      </c>
      <c r="M15" s="24">
        <v>0</v>
      </c>
      <c r="O15" s="25">
        <f t="shared" si="1"/>
        <v>7.8999999999999986</v>
      </c>
      <c r="P15" s="26">
        <f t="shared" si="2"/>
        <v>7.1999999999999984</v>
      </c>
      <c r="Q15" s="27">
        <f t="shared" si="3"/>
        <v>0.1999999999999984</v>
      </c>
      <c r="S15" s="13">
        <f t="shared" si="4"/>
        <v>10</v>
      </c>
      <c r="T15" s="14">
        <f t="shared" si="4"/>
        <v>3</v>
      </c>
      <c r="U15" s="13">
        <f t="shared" si="5"/>
        <v>17</v>
      </c>
      <c r="V15" s="14">
        <f t="shared" si="6"/>
        <v>56.999999999999957</v>
      </c>
    </row>
    <row r="16" spans="2:26" x14ac:dyDescent="0.2">
      <c r="D16" s="20">
        <f>IF(D15="-","-",IF(D15+1=DATE(2020,13,1),"-",DATE(2020,12,11)))</f>
        <v>44176</v>
      </c>
      <c r="E16" s="29">
        <f t="shared" si="0"/>
        <v>0</v>
      </c>
      <c r="F16" s="13">
        <v>8</v>
      </c>
      <c r="G16" s="14">
        <v>0</v>
      </c>
      <c r="H16" s="13">
        <v>16</v>
      </c>
      <c r="I16" s="14">
        <v>42</v>
      </c>
      <c r="J16" s="13">
        <v>0</v>
      </c>
      <c r="K16" s="14">
        <v>0</v>
      </c>
      <c r="L16" s="13">
        <v>0</v>
      </c>
      <c r="M16" s="24">
        <v>0</v>
      </c>
      <c r="O16" s="25">
        <f t="shared" si="1"/>
        <v>8.6999999999999993</v>
      </c>
      <c r="P16" s="26">
        <f t="shared" si="2"/>
        <v>7.9999999999999991</v>
      </c>
      <c r="Q16" s="27">
        <f t="shared" si="3"/>
        <v>0.99999999999999911</v>
      </c>
      <c r="S16" s="13">
        <f t="shared" si="4"/>
        <v>8</v>
      </c>
      <c r="T16" s="14">
        <f t="shared" si="4"/>
        <v>0</v>
      </c>
      <c r="U16" s="13">
        <f t="shared" si="5"/>
        <v>16</v>
      </c>
      <c r="V16" s="14">
        <f t="shared" si="6"/>
        <v>41.999999999999957</v>
      </c>
    </row>
    <row r="17" spans="2:25" x14ac:dyDescent="0.2">
      <c r="D17" s="20">
        <f>IF(D16="-","-",IF(D16+1=DATE(2020,13,1),"-",DATE(2020,12,12)))</f>
        <v>44177</v>
      </c>
      <c r="E17" s="29">
        <f t="shared" si="0"/>
        <v>1</v>
      </c>
      <c r="F17" s="22" t="s">
        <v>16</v>
      </c>
      <c r="G17" s="23" t="s">
        <v>16</v>
      </c>
      <c r="H17" s="22" t="s">
        <v>16</v>
      </c>
      <c r="I17" s="23" t="s">
        <v>16</v>
      </c>
      <c r="J17" s="22" t="s">
        <v>16</v>
      </c>
      <c r="K17" s="23" t="s">
        <v>16</v>
      </c>
      <c r="L17" s="22" t="s">
        <v>16</v>
      </c>
      <c r="M17" s="23" t="s">
        <v>16</v>
      </c>
      <c r="N17" s="1"/>
      <c r="O17" s="25" t="str">
        <f t="shared" si="1"/>
        <v>-</v>
      </c>
      <c r="P17" s="26">
        <f t="shared" si="2"/>
        <v>0</v>
      </c>
      <c r="Q17" s="27" t="str">
        <f t="shared" si="3"/>
        <v>-</v>
      </c>
      <c r="R17" s="1"/>
      <c r="S17" s="13" t="str">
        <f t="shared" si="4"/>
        <v>-</v>
      </c>
      <c r="T17" s="14" t="str">
        <f t="shared" si="4"/>
        <v>-</v>
      </c>
      <c r="U17" s="13" t="str">
        <f t="shared" si="5"/>
        <v>-</v>
      </c>
      <c r="V17" s="14" t="str">
        <f t="shared" si="6"/>
        <v>-</v>
      </c>
    </row>
    <row r="18" spans="2:25" x14ac:dyDescent="0.2">
      <c r="B18" s="72"/>
      <c r="D18" s="20">
        <f>IF(D17="-","-",IF(D17+1=DATE(2020,13,1),"-",DATE(2020,12,13)))</f>
        <v>44178</v>
      </c>
      <c r="E18" s="29">
        <f t="shared" si="0"/>
        <v>1</v>
      </c>
      <c r="F18" s="22" t="s">
        <v>16</v>
      </c>
      <c r="G18" s="23" t="s">
        <v>16</v>
      </c>
      <c r="H18" s="22" t="s">
        <v>16</v>
      </c>
      <c r="I18" s="23" t="s">
        <v>16</v>
      </c>
      <c r="J18" s="22" t="s">
        <v>16</v>
      </c>
      <c r="K18" s="23" t="s">
        <v>16</v>
      </c>
      <c r="L18" s="22" t="s">
        <v>16</v>
      </c>
      <c r="M18" s="23" t="s">
        <v>16</v>
      </c>
      <c r="N18" s="1"/>
      <c r="O18" s="25" t="str">
        <f t="shared" si="1"/>
        <v>-</v>
      </c>
      <c r="P18" s="26">
        <f t="shared" si="2"/>
        <v>0</v>
      </c>
      <c r="Q18" s="27" t="str">
        <f t="shared" si="3"/>
        <v>-</v>
      </c>
      <c r="R18" s="1"/>
      <c r="S18" s="13" t="str">
        <f t="shared" si="4"/>
        <v>-</v>
      </c>
      <c r="T18" s="14" t="str">
        <f t="shared" si="4"/>
        <v>-</v>
      </c>
      <c r="U18" s="13" t="str">
        <f t="shared" si="5"/>
        <v>-</v>
      </c>
      <c r="V18" s="14" t="str">
        <f t="shared" si="6"/>
        <v>-</v>
      </c>
    </row>
    <row r="19" spans="2:25" x14ac:dyDescent="0.2">
      <c r="B19" s="73"/>
      <c r="D19" s="20">
        <f>IF(D18="-","-",IF(D18+1=DATE(2020,13,1),"-",DATE(2020,12,14)))</f>
        <v>44179</v>
      </c>
      <c r="E19" s="29">
        <f t="shared" si="0"/>
        <v>0</v>
      </c>
      <c r="F19" s="13">
        <v>8</v>
      </c>
      <c r="G19" s="14">
        <v>57</v>
      </c>
      <c r="H19" s="13">
        <v>18</v>
      </c>
      <c r="I19" s="14">
        <v>27</v>
      </c>
      <c r="J19" s="13">
        <v>0</v>
      </c>
      <c r="K19" s="14">
        <v>0</v>
      </c>
      <c r="L19" s="13">
        <v>0</v>
      </c>
      <c r="M19" s="14">
        <v>0</v>
      </c>
      <c r="N19" s="1"/>
      <c r="O19" s="25">
        <f t="shared" si="1"/>
        <v>9.5</v>
      </c>
      <c r="P19" s="26">
        <f t="shared" si="2"/>
        <v>8.8000000000000007</v>
      </c>
      <c r="Q19" s="27">
        <f t="shared" si="3"/>
        <v>1.8000000000000007</v>
      </c>
      <c r="R19" s="1"/>
      <c r="S19" s="13">
        <f t="shared" si="4"/>
        <v>8</v>
      </c>
      <c r="T19" s="14">
        <f t="shared" si="4"/>
        <v>57</v>
      </c>
      <c r="U19" s="13">
        <f t="shared" si="5"/>
        <v>18</v>
      </c>
      <c r="V19" s="14">
        <f t="shared" si="6"/>
        <v>26.999999999999957</v>
      </c>
    </row>
    <row r="20" spans="2:25" x14ac:dyDescent="0.2">
      <c r="B20" s="74"/>
      <c r="D20" s="20">
        <f>IF(D19="-","-",IF(D19+1=DATE(2020,13,1),"-",DATE(2020,12,15)))</f>
        <v>44180</v>
      </c>
      <c r="E20" s="29">
        <f t="shared" si="0"/>
        <v>0</v>
      </c>
      <c r="F20" s="13">
        <v>8</v>
      </c>
      <c r="G20" s="14">
        <v>7</v>
      </c>
      <c r="H20" s="13">
        <v>16</v>
      </c>
      <c r="I20" s="14">
        <v>45</v>
      </c>
      <c r="J20" s="13">
        <v>0</v>
      </c>
      <c r="K20" s="14">
        <v>0</v>
      </c>
      <c r="L20" s="13">
        <v>0</v>
      </c>
      <c r="M20" s="14">
        <v>0</v>
      </c>
      <c r="N20" s="1"/>
      <c r="O20" s="25">
        <f t="shared" si="1"/>
        <v>8.6333333333333329</v>
      </c>
      <c r="P20" s="26">
        <f t="shared" si="2"/>
        <v>7.9333333333333327</v>
      </c>
      <c r="Q20" s="27">
        <f t="shared" si="3"/>
        <v>0.93333333333333268</v>
      </c>
      <c r="R20" s="1"/>
      <c r="S20" s="13">
        <f t="shared" si="4"/>
        <v>8</v>
      </c>
      <c r="T20" s="14">
        <f t="shared" si="4"/>
        <v>7</v>
      </c>
      <c r="U20" s="13">
        <f t="shared" si="5"/>
        <v>16</v>
      </c>
      <c r="V20" s="14">
        <f t="shared" si="6"/>
        <v>45</v>
      </c>
    </row>
    <row r="21" spans="2:25" x14ac:dyDescent="0.2">
      <c r="B21" s="74"/>
      <c r="D21" s="20">
        <f>IF(D20="-","-",IF(D20+1=DATE(2020,13,1),"-",DATE(2020,12,16)))</f>
        <v>44181</v>
      </c>
      <c r="E21" s="29">
        <f t="shared" si="0"/>
        <v>0</v>
      </c>
      <c r="F21" s="13">
        <v>8</v>
      </c>
      <c r="G21" s="14">
        <v>56</v>
      </c>
      <c r="H21" s="13">
        <v>18</v>
      </c>
      <c r="I21" s="14">
        <v>21</v>
      </c>
      <c r="J21" s="13">
        <v>0</v>
      </c>
      <c r="K21" s="14">
        <v>0</v>
      </c>
      <c r="L21" s="13">
        <v>0</v>
      </c>
      <c r="M21" s="14">
        <v>0</v>
      </c>
      <c r="N21" s="1"/>
      <c r="O21" s="25">
        <f t="shared" si="1"/>
        <v>9.4166666666666679</v>
      </c>
      <c r="P21" s="26">
        <f t="shared" si="2"/>
        <v>8.7166666666666686</v>
      </c>
      <c r="Q21" s="27">
        <f t="shared" si="3"/>
        <v>1.7166666666666686</v>
      </c>
      <c r="R21" s="1"/>
      <c r="S21" s="13">
        <f t="shared" si="4"/>
        <v>8</v>
      </c>
      <c r="T21" s="14">
        <f t="shared" si="4"/>
        <v>56</v>
      </c>
      <c r="U21" s="13">
        <f t="shared" si="5"/>
        <v>18</v>
      </c>
      <c r="V21" s="14">
        <f t="shared" si="6"/>
        <v>21.000000000000085</v>
      </c>
    </row>
    <row r="22" spans="2:25" ht="13.5" thickBot="1" x14ac:dyDescent="0.25">
      <c r="B22" s="74"/>
      <c r="D22" s="20">
        <f>IF(D21="-","-",IF(D21+1=DATE(2020,13,1),"-",DATE(2020,12,17)))</f>
        <v>44182</v>
      </c>
      <c r="E22" s="29">
        <f t="shared" si="0"/>
        <v>0</v>
      </c>
      <c r="F22" s="13">
        <v>9</v>
      </c>
      <c r="G22" s="14">
        <v>9</v>
      </c>
      <c r="H22" s="13">
        <v>16</v>
      </c>
      <c r="I22" s="14">
        <v>59</v>
      </c>
      <c r="J22" s="13">
        <v>0</v>
      </c>
      <c r="K22" s="14">
        <v>0</v>
      </c>
      <c r="L22" s="13">
        <v>0</v>
      </c>
      <c r="M22" s="14">
        <v>0</v>
      </c>
      <c r="N22" s="1"/>
      <c r="O22" s="25">
        <f t="shared" si="1"/>
        <v>7.8333333333333339</v>
      </c>
      <c r="P22" s="26">
        <f t="shared" si="2"/>
        <v>7.1333333333333337</v>
      </c>
      <c r="Q22" s="27">
        <f t="shared" si="3"/>
        <v>0.13333333333333375</v>
      </c>
      <c r="R22" s="1"/>
      <c r="S22" s="13">
        <f t="shared" si="4"/>
        <v>9</v>
      </c>
      <c r="T22" s="14">
        <f t="shared" si="4"/>
        <v>9</v>
      </c>
      <c r="U22" s="13">
        <f t="shared" si="5"/>
        <v>16</v>
      </c>
      <c r="V22" s="14">
        <f t="shared" si="6"/>
        <v>59.000000000000057</v>
      </c>
    </row>
    <row r="23" spans="2:25" ht="13.5" thickBot="1" x14ac:dyDescent="0.25">
      <c r="B23" s="74"/>
      <c r="D23" s="20">
        <f>IF(D22="-","-",IF(D22+1=DATE(2020,13,1),"-",DATE(2020,12,18)))</f>
        <v>44183</v>
      </c>
      <c r="E23" s="29">
        <f t="shared" si="0"/>
        <v>0</v>
      </c>
      <c r="F23" s="13" t="s">
        <v>18</v>
      </c>
      <c r="G23" s="14"/>
      <c r="H23" s="13"/>
      <c r="I23" s="14"/>
      <c r="J23" s="13"/>
      <c r="K23" s="14"/>
      <c r="L23" s="13"/>
      <c r="M23" s="24"/>
      <c r="N23" s="1"/>
      <c r="O23" s="25" t="str">
        <f t="shared" si="1"/>
        <v>-</v>
      </c>
      <c r="P23" s="26">
        <f t="shared" si="2"/>
        <v>0</v>
      </c>
      <c r="Q23" s="27" t="str">
        <f t="shared" si="3"/>
        <v>-</v>
      </c>
      <c r="R23" s="1"/>
      <c r="S23" s="13" t="str">
        <f t="shared" si="4"/>
        <v>vacation</v>
      </c>
      <c r="T23" s="14">
        <f t="shared" si="4"/>
        <v>0</v>
      </c>
      <c r="U23" s="13" t="str">
        <f t="shared" si="5"/>
        <v>-</v>
      </c>
      <c r="V23" s="14" t="str">
        <f t="shared" si="6"/>
        <v>-</v>
      </c>
      <c r="Y23" s="31"/>
    </row>
    <row r="24" spans="2:25" ht="13.5" thickBot="1" x14ac:dyDescent="0.25">
      <c r="B24" s="74"/>
      <c r="D24" s="20">
        <f>IF(D23="-","-",IF(D23+1=DATE(2020,13,1),"-",DATE(2020,12,19)))</f>
        <v>44184</v>
      </c>
      <c r="E24" s="29">
        <f t="shared" si="0"/>
        <v>1</v>
      </c>
      <c r="F24" s="22" t="s">
        <v>16</v>
      </c>
      <c r="G24" s="23" t="s">
        <v>16</v>
      </c>
      <c r="H24" s="22" t="s">
        <v>16</v>
      </c>
      <c r="I24" s="23" t="s">
        <v>16</v>
      </c>
      <c r="J24" s="22" t="s">
        <v>16</v>
      </c>
      <c r="K24" s="23" t="s">
        <v>16</v>
      </c>
      <c r="L24" s="22" t="s">
        <v>16</v>
      </c>
      <c r="M24" s="23" t="s">
        <v>16</v>
      </c>
      <c r="N24" s="1"/>
      <c r="O24" s="25" t="str">
        <f t="shared" si="1"/>
        <v>-</v>
      </c>
      <c r="P24" s="26">
        <f t="shared" si="2"/>
        <v>0</v>
      </c>
      <c r="Q24" s="27" t="str">
        <f t="shared" si="3"/>
        <v>-</v>
      </c>
      <c r="R24" s="1"/>
      <c r="S24" s="13" t="str">
        <f t="shared" si="4"/>
        <v>-</v>
      </c>
      <c r="T24" s="14" t="str">
        <f t="shared" si="4"/>
        <v>-</v>
      </c>
      <c r="U24" s="13" t="str">
        <f t="shared" si="5"/>
        <v>-</v>
      </c>
      <c r="V24" s="14" t="str">
        <f t="shared" si="6"/>
        <v>-</v>
      </c>
    </row>
    <row r="25" spans="2:25" ht="13.5" thickBot="1" x14ac:dyDescent="0.25">
      <c r="D25" s="20">
        <f>IF(D24="-","-",IF(D24+1=DATE(2020,13,1),"-",DATE(2020,12,20)))</f>
        <v>44185</v>
      </c>
      <c r="E25" s="29">
        <f t="shared" si="0"/>
        <v>1</v>
      </c>
      <c r="F25" s="22" t="s">
        <v>16</v>
      </c>
      <c r="G25" s="23" t="s">
        <v>16</v>
      </c>
      <c r="H25" s="22" t="s">
        <v>16</v>
      </c>
      <c r="I25" s="23" t="s">
        <v>16</v>
      </c>
      <c r="J25" s="22" t="s">
        <v>16</v>
      </c>
      <c r="K25" s="23" t="s">
        <v>16</v>
      </c>
      <c r="L25" s="22" t="s">
        <v>16</v>
      </c>
      <c r="M25" s="23" t="s">
        <v>16</v>
      </c>
      <c r="N25" s="1"/>
      <c r="O25" s="25" t="str">
        <f t="shared" si="1"/>
        <v>-</v>
      </c>
      <c r="P25" s="26">
        <f t="shared" si="2"/>
        <v>0</v>
      </c>
      <c r="Q25" s="27" t="str">
        <f t="shared" si="3"/>
        <v>-</v>
      </c>
      <c r="R25" s="1"/>
      <c r="S25" s="13" t="str">
        <f t="shared" si="4"/>
        <v>-</v>
      </c>
      <c r="T25" s="14" t="str">
        <f t="shared" si="4"/>
        <v>-</v>
      </c>
      <c r="U25" s="13" t="str">
        <f t="shared" si="5"/>
        <v>-</v>
      </c>
      <c r="V25" s="14" t="str">
        <f t="shared" si="6"/>
        <v>-</v>
      </c>
      <c r="X25" s="31"/>
    </row>
    <row r="26" spans="2:25" x14ac:dyDescent="0.2">
      <c r="D26" s="20">
        <f>IF(D25="-","-",IF(D25+1=DATE(2020,13,1),"-",DATE(2020,12,21)))</f>
        <v>44186</v>
      </c>
      <c r="E26" s="29">
        <f t="shared" si="0"/>
        <v>0</v>
      </c>
      <c r="F26" s="22" t="s">
        <v>18</v>
      </c>
      <c r="G26" s="23"/>
      <c r="H26" s="22"/>
      <c r="I26" s="23"/>
      <c r="J26" s="22"/>
      <c r="K26" s="23"/>
      <c r="L26" s="22"/>
      <c r="M26" s="23"/>
      <c r="N26" s="1"/>
      <c r="O26" s="25" t="str">
        <f t="shared" si="1"/>
        <v>-</v>
      </c>
      <c r="P26" s="26">
        <f t="shared" si="2"/>
        <v>0</v>
      </c>
      <c r="Q26" s="27" t="str">
        <f t="shared" si="3"/>
        <v>-</v>
      </c>
      <c r="R26" s="1"/>
      <c r="S26" s="13" t="str">
        <f t="shared" si="4"/>
        <v>vacation</v>
      </c>
      <c r="T26" s="14">
        <f t="shared" si="4"/>
        <v>0</v>
      </c>
      <c r="U26" s="13" t="str">
        <f t="shared" si="5"/>
        <v>-</v>
      </c>
      <c r="V26" s="14" t="str">
        <f t="shared" si="6"/>
        <v>-</v>
      </c>
    </row>
    <row r="27" spans="2:25" x14ac:dyDescent="0.2">
      <c r="D27" s="20">
        <f>IF(D26="-","-",IF(D26+1=DATE(2020,13,1),"-",DATE(2020,12,22)))</f>
        <v>44187</v>
      </c>
      <c r="E27" s="29">
        <f t="shared" si="0"/>
        <v>0</v>
      </c>
      <c r="F27" s="22" t="s">
        <v>18</v>
      </c>
      <c r="G27" s="23"/>
      <c r="H27" s="22"/>
      <c r="I27" s="23"/>
      <c r="J27" s="22"/>
      <c r="K27" s="23"/>
      <c r="L27" s="22"/>
      <c r="M27" s="23"/>
      <c r="N27" s="1"/>
      <c r="O27" s="25" t="str">
        <f t="shared" si="1"/>
        <v>-</v>
      </c>
      <c r="P27" s="26">
        <f t="shared" si="2"/>
        <v>0</v>
      </c>
      <c r="Q27" s="27" t="str">
        <f t="shared" si="3"/>
        <v>-</v>
      </c>
      <c r="R27" s="1"/>
      <c r="S27" s="13" t="str">
        <f t="shared" si="4"/>
        <v>vacation</v>
      </c>
      <c r="T27" s="14">
        <f t="shared" si="4"/>
        <v>0</v>
      </c>
      <c r="U27" s="13" t="str">
        <f t="shared" si="5"/>
        <v>-</v>
      </c>
      <c r="V27" s="14" t="str">
        <f t="shared" si="6"/>
        <v>-</v>
      </c>
    </row>
    <row r="28" spans="2:25" x14ac:dyDescent="0.2">
      <c r="D28" s="20">
        <f>IF(D27="-","-",IF(D27+1=DATE(2020,13,1),"-",DATE(2020,12,23)))</f>
        <v>44188</v>
      </c>
      <c r="E28" s="29">
        <f t="shared" si="0"/>
        <v>0</v>
      </c>
      <c r="F28" s="22" t="s">
        <v>18</v>
      </c>
      <c r="G28" s="23"/>
      <c r="H28" s="22"/>
      <c r="I28" s="23"/>
      <c r="J28" s="22"/>
      <c r="K28" s="23"/>
      <c r="L28" s="22"/>
      <c r="M28" s="23"/>
      <c r="N28" s="1"/>
      <c r="O28" s="25" t="str">
        <f t="shared" si="1"/>
        <v>-</v>
      </c>
      <c r="P28" s="26">
        <f t="shared" si="2"/>
        <v>0</v>
      </c>
      <c r="Q28" s="27" t="str">
        <f t="shared" si="3"/>
        <v>-</v>
      </c>
      <c r="R28" s="1"/>
      <c r="S28" s="13" t="str">
        <f t="shared" si="4"/>
        <v>vacation</v>
      </c>
      <c r="T28" s="14">
        <f t="shared" si="4"/>
        <v>0</v>
      </c>
      <c r="U28" s="13" t="str">
        <f t="shared" si="5"/>
        <v>-</v>
      </c>
      <c r="V28" s="14" t="str">
        <f t="shared" si="6"/>
        <v>-</v>
      </c>
    </row>
    <row r="29" spans="2:25" x14ac:dyDescent="0.2">
      <c r="D29" s="20">
        <f>IF(D28="-","-",IF(D28+1=DATE(2020,13,1),"-",DATE(2020,12,24)))</f>
        <v>44189</v>
      </c>
      <c r="E29" s="29">
        <f t="shared" si="0"/>
        <v>0</v>
      </c>
      <c r="F29" s="22" t="s">
        <v>18</v>
      </c>
      <c r="G29" s="23"/>
      <c r="H29" s="22"/>
      <c r="I29" s="23"/>
      <c r="J29" s="22"/>
      <c r="K29" s="23"/>
      <c r="L29" s="22"/>
      <c r="M29" s="23"/>
      <c r="N29" s="1"/>
      <c r="O29" s="25" t="str">
        <f t="shared" si="1"/>
        <v>-</v>
      </c>
      <c r="P29" s="26">
        <f t="shared" si="2"/>
        <v>0</v>
      </c>
      <c r="Q29" s="27" t="str">
        <f t="shared" si="3"/>
        <v>-</v>
      </c>
      <c r="R29" s="1"/>
      <c r="S29" s="13" t="str">
        <f t="shared" si="4"/>
        <v>vacation</v>
      </c>
      <c r="T29" s="14">
        <f t="shared" si="4"/>
        <v>0</v>
      </c>
      <c r="U29" s="13" t="str">
        <f t="shared" si="5"/>
        <v>-</v>
      </c>
      <c r="V29" s="14" t="str">
        <f t="shared" si="6"/>
        <v>-</v>
      </c>
    </row>
    <row r="30" spans="2:25" x14ac:dyDescent="0.2">
      <c r="D30" s="20">
        <f>IF(D29="-","-",IF(D29+1=DATE(2020,13,1),"-",DATE(2020,12,25)))</f>
        <v>44190</v>
      </c>
      <c r="E30" s="29">
        <f t="shared" si="0"/>
        <v>0</v>
      </c>
      <c r="F30" s="22" t="s">
        <v>18</v>
      </c>
      <c r="G30" s="23"/>
      <c r="H30" s="22"/>
      <c r="I30" s="23"/>
      <c r="J30" s="22"/>
      <c r="K30" s="23"/>
      <c r="L30" s="22"/>
      <c r="M30" s="23"/>
      <c r="N30" s="1"/>
      <c r="O30" s="25" t="str">
        <f t="shared" si="1"/>
        <v>-</v>
      </c>
      <c r="P30" s="26">
        <f t="shared" si="2"/>
        <v>0</v>
      </c>
      <c r="Q30" s="27" t="str">
        <f t="shared" si="3"/>
        <v>-</v>
      </c>
      <c r="R30" s="1"/>
      <c r="S30" s="13" t="str">
        <f t="shared" si="4"/>
        <v>vacation</v>
      </c>
      <c r="T30" s="14">
        <f t="shared" si="4"/>
        <v>0</v>
      </c>
      <c r="U30" s="13" t="str">
        <f t="shared" si="5"/>
        <v>-</v>
      </c>
      <c r="V30" s="14" t="str">
        <f t="shared" si="6"/>
        <v>-</v>
      </c>
    </row>
    <row r="31" spans="2:25" x14ac:dyDescent="0.2">
      <c r="D31" s="20">
        <f>IF(D30="-","-",IF(D30+1=DATE(2020,13,1),"-",DATE(2020,12,26)))</f>
        <v>44191</v>
      </c>
      <c r="E31" s="29">
        <f t="shared" si="0"/>
        <v>1</v>
      </c>
      <c r="F31" s="22" t="s">
        <v>16</v>
      </c>
      <c r="G31" s="23" t="s">
        <v>16</v>
      </c>
      <c r="H31" s="22" t="s">
        <v>16</v>
      </c>
      <c r="I31" s="23" t="s">
        <v>16</v>
      </c>
      <c r="J31" s="22" t="s">
        <v>16</v>
      </c>
      <c r="K31" s="23" t="s">
        <v>16</v>
      </c>
      <c r="L31" s="22" t="s">
        <v>16</v>
      </c>
      <c r="M31" s="23" t="s">
        <v>16</v>
      </c>
      <c r="N31" s="1"/>
      <c r="O31" s="25" t="str">
        <f t="shared" si="1"/>
        <v>-</v>
      </c>
      <c r="P31" s="26">
        <f t="shared" si="2"/>
        <v>0</v>
      </c>
      <c r="Q31" s="27" t="str">
        <f t="shared" si="3"/>
        <v>-</v>
      </c>
      <c r="R31" s="1"/>
      <c r="S31" s="13" t="str">
        <f t="shared" si="4"/>
        <v>-</v>
      </c>
      <c r="T31" s="14" t="str">
        <f t="shared" si="4"/>
        <v>-</v>
      </c>
      <c r="U31" s="13" t="str">
        <f t="shared" si="5"/>
        <v>-</v>
      </c>
      <c r="V31" s="14" t="str">
        <f t="shared" si="6"/>
        <v>-</v>
      </c>
    </row>
    <row r="32" spans="2:25" x14ac:dyDescent="0.2">
      <c r="D32" s="20">
        <f>IF(D31="-","-",IF(D31+1=DATE(2020,13,1),"-",DATE(2020,12,27)))</f>
        <v>44192</v>
      </c>
      <c r="E32" s="29">
        <f t="shared" si="0"/>
        <v>1</v>
      </c>
      <c r="F32" s="22" t="s">
        <v>16</v>
      </c>
      <c r="G32" s="23" t="s">
        <v>16</v>
      </c>
      <c r="H32" s="22" t="s">
        <v>16</v>
      </c>
      <c r="I32" s="23" t="s">
        <v>16</v>
      </c>
      <c r="J32" s="22" t="s">
        <v>16</v>
      </c>
      <c r="K32" s="23" t="s">
        <v>16</v>
      </c>
      <c r="L32" s="22" t="s">
        <v>16</v>
      </c>
      <c r="M32" s="23" t="s">
        <v>16</v>
      </c>
      <c r="N32" s="1"/>
      <c r="O32" s="25" t="str">
        <f t="shared" si="1"/>
        <v>-</v>
      </c>
      <c r="P32" s="26">
        <f t="shared" si="2"/>
        <v>0</v>
      </c>
      <c r="Q32" s="27" t="str">
        <f t="shared" si="3"/>
        <v>-</v>
      </c>
      <c r="R32" s="1"/>
      <c r="S32" s="13" t="str">
        <f t="shared" si="4"/>
        <v>-</v>
      </c>
      <c r="T32" s="14" t="str">
        <f t="shared" si="4"/>
        <v>-</v>
      </c>
      <c r="U32" s="13" t="str">
        <f t="shared" si="5"/>
        <v>-</v>
      </c>
      <c r="V32" s="14" t="str">
        <f t="shared" si="6"/>
        <v>-</v>
      </c>
    </row>
    <row r="33" spans="2:22" x14ac:dyDescent="0.2">
      <c r="D33" s="20">
        <f>IF(D32="-","-",IF(D32+1=DATE(2020,13,1),"-",DATE(2020,12,28)))</f>
        <v>44193</v>
      </c>
      <c r="E33" s="29">
        <f t="shared" si="0"/>
        <v>0</v>
      </c>
      <c r="F33" s="22" t="s">
        <v>18</v>
      </c>
      <c r="G33" s="23"/>
      <c r="H33" s="22"/>
      <c r="I33" s="23"/>
      <c r="J33" s="22"/>
      <c r="K33" s="23"/>
      <c r="L33" s="22"/>
      <c r="M33" s="23"/>
      <c r="N33" s="1"/>
      <c r="O33" s="25" t="str">
        <f t="shared" si="1"/>
        <v>-</v>
      </c>
      <c r="P33" s="26">
        <f t="shared" si="2"/>
        <v>0</v>
      </c>
      <c r="Q33" s="27" t="str">
        <f t="shared" si="3"/>
        <v>-</v>
      </c>
      <c r="R33" s="1"/>
      <c r="S33" s="13" t="str">
        <f t="shared" si="4"/>
        <v>vacation</v>
      </c>
      <c r="T33" s="14">
        <f t="shared" si="4"/>
        <v>0</v>
      </c>
      <c r="U33" s="13" t="str">
        <f t="shared" si="5"/>
        <v>-</v>
      </c>
      <c r="V33" s="14" t="str">
        <f t="shared" si="6"/>
        <v>-</v>
      </c>
    </row>
    <row r="34" spans="2:22" x14ac:dyDescent="0.2">
      <c r="D34" s="20">
        <f>IF(D33="-","-",IF(D33+1=DATE(2020,13,1),"-",DATE(2020,12,29)))</f>
        <v>44194</v>
      </c>
      <c r="E34" s="29">
        <f t="shared" si="0"/>
        <v>0</v>
      </c>
      <c r="F34" s="22" t="s">
        <v>18</v>
      </c>
      <c r="G34" s="23"/>
      <c r="H34" s="22"/>
      <c r="I34" s="23"/>
      <c r="J34" s="22"/>
      <c r="K34" s="23"/>
      <c r="L34" s="22"/>
      <c r="M34" s="23"/>
      <c r="N34" s="1"/>
      <c r="O34" s="25" t="str">
        <f t="shared" si="1"/>
        <v>-</v>
      </c>
      <c r="P34" s="26">
        <f t="shared" si="2"/>
        <v>0</v>
      </c>
      <c r="Q34" s="27" t="str">
        <f t="shared" si="3"/>
        <v>-</v>
      </c>
      <c r="R34" s="1"/>
      <c r="S34" s="13" t="str">
        <f t="shared" si="4"/>
        <v>vacation</v>
      </c>
      <c r="T34" s="14">
        <f t="shared" si="4"/>
        <v>0</v>
      </c>
      <c r="U34" s="13" t="str">
        <f t="shared" si="5"/>
        <v>-</v>
      </c>
      <c r="V34" s="14" t="str">
        <f t="shared" si="6"/>
        <v>-</v>
      </c>
    </row>
    <row r="35" spans="2:22" x14ac:dyDescent="0.2">
      <c r="D35" s="20">
        <f>IF(D34="-","-",IF(D34+1=DATE(2020,13,1),"-",DATE(2020,12,30)))</f>
        <v>44195</v>
      </c>
      <c r="E35" s="29">
        <f t="shared" si="0"/>
        <v>0</v>
      </c>
      <c r="F35" s="22" t="s">
        <v>18</v>
      </c>
      <c r="G35" s="23"/>
      <c r="H35" s="22"/>
      <c r="I35" s="23"/>
      <c r="J35" s="22"/>
      <c r="K35" s="23"/>
      <c r="L35" s="22"/>
      <c r="M35" s="23"/>
      <c r="N35" s="1"/>
      <c r="O35" s="25" t="str">
        <f t="shared" si="1"/>
        <v>-</v>
      </c>
      <c r="P35" s="26">
        <f t="shared" si="2"/>
        <v>0</v>
      </c>
      <c r="Q35" s="27" t="str">
        <f t="shared" si="3"/>
        <v>-</v>
      </c>
      <c r="R35" s="1"/>
      <c r="S35" s="13" t="str">
        <f t="shared" si="4"/>
        <v>vacation</v>
      </c>
      <c r="T35" s="14">
        <f t="shared" si="4"/>
        <v>0</v>
      </c>
      <c r="U35" s="13" t="str">
        <f t="shared" si="5"/>
        <v>-</v>
      </c>
      <c r="V35" s="14" t="str">
        <f t="shared" si="6"/>
        <v>-</v>
      </c>
    </row>
    <row r="36" spans="2:22" ht="13.5" thickBot="1" x14ac:dyDescent="0.25">
      <c r="D36" s="51">
        <f>IF(D35="-","-",IF(D35+1=DATE(2020,13,1),"-",DATE(2020,12,31)))</f>
        <v>44196</v>
      </c>
      <c r="E36" s="29">
        <f t="shared" si="0"/>
        <v>0</v>
      </c>
      <c r="F36" s="33" t="s">
        <v>18</v>
      </c>
      <c r="G36" s="34"/>
      <c r="H36" s="33"/>
      <c r="I36" s="34"/>
      <c r="J36" s="33"/>
      <c r="K36" s="34"/>
      <c r="L36" s="33"/>
      <c r="M36" s="34"/>
      <c r="N36" s="1"/>
      <c r="O36" s="35" t="str">
        <f t="shared" si="1"/>
        <v>-</v>
      </c>
      <c r="P36" s="44">
        <f t="shared" si="2"/>
        <v>0</v>
      </c>
      <c r="Q36" s="36" t="str">
        <f t="shared" si="3"/>
        <v>-</v>
      </c>
      <c r="R36" s="1"/>
      <c r="S36" s="37" t="str">
        <f t="shared" si="4"/>
        <v>vacation</v>
      </c>
      <c r="T36" s="38">
        <f t="shared" si="4"/>
        <v>0</v>
      </c>
      <c r="U36" s="37" t="str">
        <f t="shared" si="5"/>
        <v>-</v>
      </c>
      <c r="V36" s="38" t="str">
        <f t="shared" si="6"/>
        <v>-</v>
      </c>
    </row>
    <row r="37" spans="2:22" x14ac:dyDescent="0.2">
      <c r="D37" s="46"/>
      <c r="E37" s="47"/>
      <c r="F37" s="48"/>
      <c r="G37" s="48"/>
      <c r="H37" s="48"/>
      <c r="I37" s="48"/>
      <c r="J37" s="48"/>
      <c r="K37" s="48"/>
      <c r="L37" s="48"/>
      <c r="M37" s="48"/>
      <c r="N37" s="48"/>
      <c r="O37" s="26"/>
      <c r="P37" s="26"/>
      <c r="Q37" s="26"/>
      <c r="R37" s="48"/>
      <c r="S37" s="49"/>
      <c r="T37" s="49"/>
      <c r="U37" s="49"/>
      <c r="V37" s="49"/>
    </row>
    <row r="38" spans="2:22" x14ac:dyDescent="0.2">
      <c r="D38" s="46"/>
      <c r="E38" s="47"/>
      <c r="F38" s="48"/>
      <c r="G38" s="48"/>
      <c r="H38" s="48"/>
      <c r="I38" s="48"/>
      <c r="J38" s="48"/>
      <c r="K38" s="48"/>
      <c r="L38" s="48"/>
      <c r="M38" s="48"/>
      <c r="N38" s="48"/>
      <c r="O38" s="26"/>
      <c r="P38" s="26"/>
      <c r="Q38" s="26"/>
      <c r="R38" s="48"/>
      <c r="S38" s="49"/>
      <c r="T38" s="49"/>
      <c r="U38" s="49"/>
      <c r="V38" s="49"/>
    </row>
    <row r="39" spans="2:22" x14ac:dyDescent="0.2">
      <c r="B39" s="50"/>
      <c r="D39" s="46"/>
      <c r="E39" s="47"/>
      <c r="F39" s="48"/>
      <c r="G39" s="48"/>
      <c r="H39" s="48"/>
      <c r="I39" s="48"/>
      <c r="J39" s="48"/>
      <c r="K39" s="48"/>
      <c r="L39" s="48"/>
      <c r="M39" s="48"/>
      <c r="N39" s="48"/>
      <c r="O39" s="26"/>
      <c r="P39" s="26"/>
      <c r="Q39" s="26"/>
      <c r="R39" s="48"/>
      <c r="S39" s="49"/>
      <c r="T39" s="49"/>
      <c r="U39" s="49"/>
      <c r="V39" s="49"/>
    </row>
    <row r="40" spans="2:22" x14ac:dyDescent="0.2">
      <c r="D40" s="46"/>
      <c r="E40" s="47"/>
      <c r="F40" s="48"/>
      <c r="G40" s="48"/>
      <c r="H40" s="48"/>
      <c r="I40" s="48"/>
      <c r="J40" s="48"/>
      <c r="K40" s="48"/>
      <c r="L40" s="48"/>
      <c r="M40" s="48"/>
      <c r="N40" s="48"/>
      <c r="O40" s="26"/>
      <c r="P40" s="26"/>
      <c r="Q40" s="26"/>
      <c r="R40" s="48"/>
      <c r="S40" s="49"/>
      <c r="T40" s="49"/>
      <c r="U40" s="49"/>
      <c r="V40" s="49"/>
    </row>
    <row r="41" spans="2:22" x14ac:dyDescent="0.2">
      <c r="D41" s="46"/>
      <c r="E41" s="47"/>
      <c r="F41" s="48"/>
      <c r="G41" s="48"/>
      <c r="H41" s="48"/>
      <c r="I41" s="48"/>
      <c r="J41" s="48"/>
      <c r="K41" s="48"/>
      <c r="L41" s="48"/>
      <c r="M41" s="48"/>
      <c r="N41" s="48"/>
      <c r="O41" s="26"/>
      <c r="P41" s="26"/>
      <c r="Q41" s="26"/>
      <c r="R41" s="48"/>
      <c r="S41" s="49"/>
      <c r="T41" s="49"/>
      <c r="U41" s="49"/>
      <c r="V41" s="49"/>
    </row>
    <row r="42" spans="2:22" x14ac:dyDescent="0.2">
      <c r="D42" s="46"/>
      <c r="E42" s="47"/>
      <c r="F42" s="48"/>
      <c r="G42" s="48"/>
      <c r="H42" s="48"/>
      <c r="I42" s="48"/>
      <c r="J42" s="48"/>
      <c r="K42" s="48"/>
      <c r="L42" s="48"/>
      <c r="M42" s="48"/>
      <c r="N42" s="48"/>
      <c r="O42" s="26"/>
      <c r="P42" s="26"/>
      <c r="Q42" s="26"/>
      <c r="R42" s="48"/>
      <c r="S42" s="49"/>
      <c r="T42" s="49"/>
      <c r="U42" s="49"/>
      <c r="V42" s="49"/>
    </row>
    <row r="43" spans="2:22" x14ac:dyDescent="0.2">
      <c r="D43" s="46"/>
      <c r="E43" s="47"/>
      <c r="F43" s="48"/>
      <c r="G43" s="48"/>
      <c r="H43" s="48"/>
      <c r="I43" s="48"/>
      <c r="J43" s="48"/>
      <c r="K43" s="48"/>
      <c r="L43" s="48"/>
      <c r="M43" s="48"/>
      <c r="N43" s="48"/>
      <c r="O43" s="26"/>
      <c r="P43" s="26"/>
      <c r="Q43" s="26"/>
      <c r="R43" s="48"/>
      <c r="S43" s="49"/>
      <c r="T43" s="49"/>
      <c r="U43" s="49"/>
      <c r="V43" s="49"/>
    </row>
    <row r="44" spans="2:22" x14ac:dyDescent="0.2">
      <c r="D44" s="46"/>
      <c r="E44" s="47"/>
      <c r="F44" s="48"/>
      <c r="G44" s="48"/>
      <c r="H44" s="48"/>
      <c r="I44" s="48"/>
      <c r="J44" s="48"/>
      <c r="K44" s="48"/>
      <c r="L44" s="48"/>
      <c r="M44" s="48"/>
      <c r="N44" s="48"/>
      <c r="O44" s="26"/>
      <c r="P44" s="26"/>
      <c r="Q44" s="26"/>
      <c r="R44" s="48"/>
      <c r="S44" s="49"/>
      <c r="T44" s="49"/>
      <c r="U44" s="49"/>
      <c r="V44" s="49"/>
    </row>
    <row r="45" spans="2:22" x14ac:dyDescent="0.2">
      <c r="D45" s="46"/>
      <c r="E45" s="47"/>
      <c r="F45" s="48"/>
      <c r="G45" s="48"/>
      <c r="H45" s="48"/>
      <c r="I45" s="48"/>
      <c r="J45" s="48"/>
      <c r="K45" s="48"/>
      <c r="L45" s="48"/>
      <c r="M45" s="48"/>
      <c r="N45" s="48"/>
      <c r="O45" s="26"/>
      <c r="P45" s="26"/>
      <c r="Q45" s="26"/>
      <c r="R45" s="48"/>
      <c r="S45" s="49"/>
      <c r="T45" s="49"/>
      <c r="U45" s="49"/>
      <c r="V45" s="49"/>
    </row>
    <row r="46" spans="2:22" x14ac:dyDescent="0.2">
      <c r="D46" s="46"/>
      <c r="E46" s="47"/>
      <c r="F46" s="48"/>
      <c r="G46" s="48"/>
      <c r="H46" s="48"/>
      <c r="I46" s="48"/>
      <c r="J46" s="48"/>
      <c r="K46" s="48"/>
      <c r="L46" s="48"/>
      <c r="M46" s="48"/>
      <c r="N46" s="48"/>
      <c r="O46" s="26"/>
      <c r="P46" s="26"/>
      <c r="Q46" s="26"/>
      <c r="R46" s="48"/>
      <c r="S46" s="49"/>
      <c r="T46" s="49"/>
      <c r="U46" s="49"/>
      <c r="V46" s="49"/>
    </row>
    <row r="47" spans="2:22" x14ac:dyDescent="0.2">
      <c r="D47" s="46"/>
      <c r="E47" s="47"/>
      <c r="F47" s="48"/>
      <c r="G47" s="48"/>
      <c r="H47" s="48"/>
      <c r="I47" s="48"/>
      <c r="J47" s="48"/>
      <c r="K47" s="48"/>
      <c r="L47" s="48"/>
      <c r="M47" s="48"/>
      <c r="N47" s="48"/>
      <c r="O47" s="26"/>
      <c r="P47" s="26"/>
      <c r="Q47" s="26"/>
      <c r="R47" s="48"/>
      <c r="S47" s="49"/>
      <c r="T47" s="49"/>
      <c r="U47" s="49"/>
      <c r="V47" s="49"/>
    </row>
  </sheetData>
  <mergeCells count="11">
    <mergeCell ref="U4:V4"/>
    <mergeCell ref="D3:D5"/>
    <mergeCell ref="F3:I3"/>
    <mergeCell ref="J3:M3"/>
    <mergeCell ref="O3:Q4"/>
    <mergeCell ref="S3:V3"/>
    <mergeCell ref="F4:G4"/>
    <mergeCell ref="H4:I4"/>
    <mergeCell ref="J4:K4"/>
    <mergeCell ref="L4:M4"/>
    <mergeCell ref="S4:T4"/>
  </mergeCells>
  <conditionalFormatting sqref="O6:O36">
    <cfRule type="cellIs" dxfId="7" priority="4" operator="between">
      <formula>6</formula>
      <formula>6.7</formula>
    </cfRule>
  </conditionalFormatting>
  <conditionalFormatting sqref="Q6:Q36">
    <cfRule type="cellIs" dxfId="6" priority="2" operator="greaterThan">
      <formula>0</formula>
    </cfRule>
    <cfRule type="cellIs" dxfId="5" priority="3" operator="lessThan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D2E0BCC-0EEF-46E3-A938-FD31E490EE88}">
            <xm:f>NOT(ISERROR(SEARCH("-",Q6)))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Q6:Q36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Z47"/>
  <sheetViews>
    <sheetView showGridLines="0" tabSelected="1" zoomScaleNormal="100" workbookViewId="0">
      <selection activeCell="K31" sqref="K31"/>
    </sheetView>
  </sheetViews>
  <sheetFormatPr defaultRowHeight="12.75" x14ac:dyDescent="0.2"/>
  <cols>
    <col min="2" max="2" width="22.140625" bestFit="1" customWidth="1"/>
    <col min="5" max="5" width="0.7109375" customWidth="1"/>
    <col min="6" max="6" width="8.140625" bestFit="1" customWidth="1"/>
    <col min="7" max="7" width="12.28515625" bestFit="1" customWidth="1"/>
    <col min="8" max="8" width="8.140625" bestFit="1" customWidth="1"/>
    <col min="9" max="9" width="12.28515625" bestFit="1" customWidth="1"/>
    <col min="10" max="10" width="8.140625" bestFit="1" customWidth="1"/>
    <col min="11" max="11" width="12.28515625" bestFit="1" customWidth="1"/>
    <col min="12" max="12" width="8.140625" bestFit="1" customWidth="1"/>
    <col min="13" max="13" width="12.28515625" bestFit="1" customWidth="1"/>
    <col min="14" max="14" width="0.85546875" customWidth="1"/>
    <col min="15" max="15" width="13.140625" bestFit="1" customWidth="1"/>
    <col min="16" max="16" width="16.28515625" customWidth="1"/>
    <col min="17" max="17" width="13.5703125" customWidth="1"/>
    <col min="18" max="18" width="0.85546875" customWidth="1"/>
    <col min="19" max="19" width="8.140625" bestFit="1" customWidth="1"/>
    <col min="20" max="20" width="12.28515625" bestFit="1" customWidth="1"/>
    <col min="21" max="21" width="8.140625" bestFit="1" customWidth="1"/>
    <col min="22" max="22" width="12.28515625" bestFit="1" customWidth="1"/>
  </cols>
  <sheetData>
    <row r="2" spans="2:26" ht="13.5" thickBot="1" x14ac:dyDescent="0.25"/>
    <row r="3" spans="2:26" ht="13.5" thickBot="1" x14ac:dyDescent="0.25">
      <c r="B3" s="4" t="s">
        <v>4</v>
      </c>
      <c r="D3" s="77" t="s">
        <v>0</v>
      </c>
      <c r="E3" s="28"/>
      <c r="F3" s="79" t="s">
        <v>14</v>
      </c>
      <c r="G3" s="80"/>
      <c r="H3" s="80"/>
      <c r="I3" s="81"/>
      <c r="J3" s="82" t="s">
        <v>13</v>
      </c>
      <c r="K3" s="83"/>
      <c r="L3" s="83"/>
      <c r="M3" s="84"/>
      <c r="N3" s="1"/>
      <c r="O3" s="85" t="s">
        <v>3</v>
      </c>
      <c r="P3" s="86"/>
      <c r="Q3" s="87"/>
      <c r="S3" s="91" t="s">
        <v>15</v>
      </c>
      <c r="T3" s="92"/>
      <c r="U3" s="92"/>
      <c r="V3" s="93"/>
    </row>
    <row r="4" spans="2:26" ht="13.5" thickBot="1" x14ac:dyDescent="0.25">
      <c r="B4" s="5">
        <v>7</v>
      </c>
      <c r="D4" s="78"/>
      <c r="E4" s="28"/>
      <c r="F4" s="94" t="s">
        <v>1</v>
      </c>
      <c r="G4" s="95"/>
      <c r="H4" s="75" t="s">
        <v>2</v>
      </c>
      <c r="I4" s="76"/>
      <c r="J4" s="94" t="s">
        <v>1</v>
      </c>
      <c r="K4" s="95"/>
      <c r="L4" s="75" t="s">
        <v>2</v>
      </c>
      <c r="M4" s="76"/>
      <c r="N4" s="1"/>
      <c r="O4" s="88"/>
      <c r="P4" s="89"/>
      <c r="Q4" s="90"/>
      <c r="S4" s="94" t="s">
        <v>1</v>
      </c>
      <c r="T4" s="95"/>
      <c r="U4" s="75" t="s">
        <v>2</v>
      </c>
      <c r="V4" s="76"/>
    </row>
    <row r="5" spans="2:26" ht="13.5" thickBot="1" x14ac:dyDescent="0.25">
      <c r="B5" s="1"/>
      <c r="D5" s="78"/>
      <c r="E5" s="28"/>
      <c r="F5" s="2" t="s">
        <v>6</v>
      </c>
      <c r="G5" s="3" t="s">
        <v>7</v>
      </c>
      <c r="H5" s="2" t="s">
        <v>6</v>
      </c>
      <c r="I5" s="3" t="s">
        <v>7</v>
      </c>
      <c r="J5" s="2" t="s">
        <v>6</v>
      </c>
      <c r="K5" s="3" t="s">
        <v>7</v>
      </c>
      <c r="L5" s="2" t="s">
        <v>6</v>
      </c>
      <c r="M5" s="3" t="s">
        <v>7</v>
      </c>
      <c r="N5" s="1"/>
      <c r="O5" s="17" t="s">
        <v>8</v>
      </c>
      <c r="P5" s="60" t="s">
        <v>9</v>
      </c>
      <c r="Q5" s="18" t="s">
        <v>10</v>
      </c>
      <c r="S5" s="17" t="s">
        <v>6</v>
      </c>
      <c r="T5" s="18" t="s">
        <v>7</v>
      </c>
      <c r="U5" s="2" t="s">
        <v>6</v>
      </c>
      <c r="V5" s="3" t="s">
        <v>7</v>
      </c>
    </row>
    <row r="6" spans="2:26" ht="13.5" thickBot="1" x14ac:dyDescent="0.25">
      <c r="B6" s="4" t="s">
        <v>5</v>
      </c>
      <c r="D6" s="19">
        <f>IF(D5="-","-",IF(D5+1=DATE(2021,2,1),"-",DATE(2021,1,1)))</f>
        <v>44197</v>
      </c>
      <c r="E6" s="29">
        <f>IF(D6="-",0,IF(OR(WEEKDAY(D6)=1,WEEKDAY(D6)=7),1,0))</f>
        <v>0</v>
      </c>
      <c r="F6" s="9" t="s">
        <v>18</v>
      </c>
      <c r="G6" s="10"/>
      <c r="H6" s="9"/>
      <c r="I6" s="10"/>
      <c r="J6" s="9"/>
      <c r="K6" s="10"/>
      <c r="L6" s="9"/>
      <c r="M6" s="10"/>
      <c r="N6" s="7"/>
      <c r="O6" s="41" t="str">
        <f>IFERROR(((H6+I6/60)-(F6+G6/60))+((L6+M6/60)-(J6+K6/60)), "-")</f>
        <v>-</v>
      </c>
      <c r="P6" s="42">
        <f>IFERROR(IF(AND(O6&gt;=6,O6&lt;=6.7),6,IF(O6&gt;6.7,IF(O6-$B$7&gt;0,O6-$B$7, 0),O6)),0)</f>
        <v>0</v>
      </c>
      <c r="Q6" s="43" t="str">
        <f>IFERROR(IF(P6-$B$4&gt;-7,P6-$B$4, "-"),0)</f>
        <v>-</v>
      </c>
      <c r="R6" s="8"/>
      <c r="S6" s="15" t="str">
        <f>IFERROR(F6, "-")</f>
        <v>vacation</v>
      </c>
      <c r="T6" s="16">
        <f>IFERROR(G6, "-")</f>
        <v>0</v>
      </c>
      <c r="U6" s="15" t="str">
        <f>IFERROR(INT(S6+T6/60+O6),"-")</f>
        <v>-</v>
      </c>
      <c r="V6" s="16" t="str">
        <f>IFERROR((S6+T6/60+O6-INT(S6+T6/60+O6))*60,"-")</f>
        <v>-</v>
      </c>
    </row>
    <row r="7" spans="2:26" ht="13.5" thickBot="1" x14ac:dyDescent="0.25">
      <c r="B7" s="6">
        <f>42/60</f>
        <v>0.7</v>
      </c>
      <c r="D7" s="20">
        <f>IF(D6="-","-",IF(D6+1=DATE(2021,2,1),"-",DATE(2021,1,2)))</f>
        <v>44198</v>
      </c>
      <c r="E7" s="29">
        <f t="shared" ref="E7:E36" si="0">IF(D7="-",0,IF(OR(WEEKDAY(D7)=1,WEEKDAY(D7)=7),1,0))</f>
        <v>1</v>
      </c>
      <c r="F7" s="11" t="s">
        <v>16</v>
      </c>
      <c r="G7" s="12" t="s">
        <v>16</v>
      </c>
      <c r="H7" s="11" t="s">
        <v>16</v>
      </c>
      <c r="I7" s="12" t="s">
        <v>16</v>
      </c>
      <c r="J7" s="11" t="s">
        <v>16</v>
      </c>
      <c r="K7" s="12" t="s">
        <v>16</v>
      </c>
      <c r="L7" s="11" t="s">
        <v>16</v>
      </c>
      <c r="M7" s="12" t="s">
        <v>16</v>
      </c>
      <c r="N7" s="7"/>
      <c r="O7" s="25" t="str">
        <f>IFERROR(((H7+I7/60)-(F7+G7/60))+((L7+M7/60)-(J7+K7/60)), "-")</f>
        <v>-</v>
      </c>
      <c r="P7" s="26">
        <f>IFERROR(IF(AND(O7&gt;=6,O7&lt;=6.7),6,IF(O7&gt;6.7,IF(O7-$B$7&gt;0,O7-$B$7, 0),O7)),0)</f>
        <v>0</v>
      </c>
      <c r="Q7" s="27" t="str">
        <f>IFERROR(IF(P7-$B$4&gt;-7,P7-$B$4, "-"),0)</f>
        <v>-</v>
      </c>
      <c r="R7" s="8"/>
      <c r="S7" s="13" t="str">
        <f>IFERROR(F7, "-")</f>
        <v>-</v>
      </c>
      <c r="T7" s="14" t="str">
        <f>IFERROR(G7, "-")</f>
        <v>-</v>
      </c>
      <c r="U7" s="13" t="str">
        <f>IFERROR(INT(S7+T7/60+O7),"-")</f>
        <v>-</v>
      </c>
      <c r="V7" s="14" t="str">
        <f>IFERROR((S7+T7/60+O7-INT(S7+T7/60+O7))*60,"-")</f>
        <v>-</v>
      </c>
    </row>
    <row r="8" spans="2:26" ht="13.5" thickBot="1" x14ac:dyDescent="0.25">
      <c r="D8" s="20">
        <f>IF(D7="-","-",IF(D7+1=DATE(2021,2,1),"-",DATE(2021,1,3)))</f>
        <v>44199</v>
      </c>
      <c r="E8" s="29">
        <f t="shared" si="0"/>
        <v>1</v>
      </c>
      <c r="F8" s="13" t="s">
        <v>16</v>
      </c>
      <c r="G8" s="14" t="s">
        <v>16</v>
      </c>
      <c r="H8" s="13" t="s">
        <v>16</v>
      </c>
      <c r="I8" s="14" t="s">
        <v>16</v>
      </c>
      <c r="J8" s="13" t="s">
        <v>16</v>
      </c>
      <c r="K8" s="14" t="s">
        <v>16</v>
      </c>
      <c r="L8" s="13" t="s">
        <v>16</v>
      </c>
      <c r="M8" s="14" t="s">
        <v>16</v>
      </c>
      <c r="N8" s="8"/>
      <c r="O8" s="25" t="str">
        <f t="shared" ref="O8:O36" si="1">IFERROR(((H8+I8/60)-(F8+G8/60))+((L8+M8/60)-(J8+K8/60)), "-")</f>
        <v>-</v>
      </c>
      <c r="P8" s="26">
        <f t="shared" ref="P8:P36" si="2">IFERROR(IF(AND(O8&gt;=6,O8&lt;=6.7),6,IF(O8&gt;6.7,IF(O8-$B$7&gt;0,O8-$B$7, 0),O8)),0)</f>
        <v>0</v>
      </c>
      <c r="Q8" s="27" t="str">
        <f t="shared" ref="Q8:Q36" si="3">IFERROR(IF(P8-$B$4&gt;-7,P8-$B$4, "-"),0)</f>
        <v>-</v>
      </c>
      <c r="R8" s="8"/>
      <c r="S8" s="13" t="str">
        <f t="shared" ref="S8:T36" si="4">IFERROR(F8, "-")</f>
        <v>-</v>
      </c>
      <c r="T8" s="14" t="str">
        <f t="shared" si="4"/>
        <v>-</v>
      </c>
      <c r="U8" s="13" t="str">
        <f t="shared" ref="U8:U36" si="5">IFERROR(INT(S8+T8/60+O8),"-")</f>
        <v>-</v>
      </c>
      <c r="V8" s="14" t="str">
        <f t="shared" ref="V8:V36" si="6">IFERROR((S8+T8/60+O8-INT(S8+T8/60+O8))*60,"-")</f>
        <v>-</v>
      </c>
      <c r="X8" s="32"/>
      <c r="Y8" s="32"/>
      <c r="Z8" s="32"/>
    </row>
    <row r="9" spans="2:26" ht="13.5" thickBot="1" x14ac:dyDescent="0.25">
      <c r="B9" s="4" t="s">
        <v>11</v>
      </c>
      <c r="D9" s="20">
        <f>IF(D8="-","-",IF(D8+1=DATE(2021,2,1),"-",DATE(2021,1,4)))</f>
        <v>44200</v>
      </c>
      <c r="E9" s="29">
        <f t="shared" si="0"/>
        <v>0</v>
      </c>
      <c r="F9" s="13" t="s">
        <v>18</v>
      </c>
      <c r="G9" s="14"/>
      <c r="H9" s="13"/>
      <c r="I9" s="14"/>
      <c r="J9" s="13"/>
      <c r="K9" s="14"/>
      <c r="L9" s="13"/>
      <c r="M9" s="14"/>
      <c r="N9" s="8"/>
      <c r="O9" s="25" t="str">
        <f t="shared" si="1"/>
        <v>-</v>
      </c>
      <c r="P9" s="26">
        <f t="shared" si="2"/>
        <v>0</v>
      </c>
      <c r="Q9" s="27" t="str">
        <f t="shared" si="3"/>
        <v>-</v>
      </c>
      <c r="R9" s="8"/>
      <c r="S9" s="13" t="str">
        <f t="shared" si="4"/>
        <v>vacation</v>
      </c>
      <c r="T9" s="14">
        <f t="shared" si="4"/>
        <v>0</v>
      </c>
      <c r="U9" s="13" t="str">
        <f t="shared" si="5"/>
        <v>-</v>
      </c>
      <c r="V9" s="14" t="str">
        <f t="shared" si="6"/>
        <v>-</v>
      </c>
    </row>
    <row r="10" spans="2:26" ht="13.5" thickBot="1" x14ac:dyDescent="0.25">
      <c r="B10" s="5">
        <f>SUM(O6:O47)</f>
        <v>112.9</v>
      </c>
      <c r="D10" s="20">
        <f>IF(D9="-","-",IF(D9+1=DATE(2021,2,1),"-",DATE(2021,1,5)))</f>
        <v>44201</v>
      </c>
      <c r="E10" s="29">
        <f t="shared" si="0"/>
        <v>0</v>
      </c>
      <c r="F10" s="13" t="s">
        <v>18</v>
      </c>
      <c r="G10" s="14"/>
      <c r="H10" s="13"/>
      <c r="I10" s="14"/>
      <c r="J10" s="13"/>
      <c r="K10" s="14"/>
      <c r="L10" s="13"/>
      <c r="M10" s="14"/>
      <c r="O10" s="25" t="str">
        <f t="shared" si="1"/>
        <v>-</v>
      </c>
      <c r="P10" s="26">
        <f t="shared" si="2"/>
        <v>0</v>
      </c>
      <c r="Q10" s="27" t="str">
        <f t="shared" si="3"/>
        <v>-</v>
      </c>
      <c r="S10" s="13" t="str">
        <f t="shared" si="4"/>
        <v>vacation</v>
      </c>
      <c r="T10" s="14">
        <f t="shared" si="4"/>
        <v>0</v>
      </c>
      <c r="U10" s="13" t="str">
        <f t="shared" si="5"/>
        <v>-</v>
      </c>
      <c r="V10" s="14" t="str">
        <f t="shared" si="6"/>
        <v>-</v>
      </c>
    </row>
    <row r="11" spans="2:26" ht="13.5" thickBot="1" x14ac:dyDescent="0.25">
      <c r="D11" s="20">
        <f>IF(D10="-","-",IF(D10+1=DATE(2021,2,1),"-",DATE(2021,1,6)))</f>
        <v>44202</v>
      </c>
      <c r="E11" s="29">
        <f t="shared" si="0"/>
        <v>0</v>
      </c>
      <c r="F11" s="22" t="s">
        <v>18</v>
      </c>
      <c r="G11" s="23"/>
      <c r="H11" s="22"/>
      <c r="I11" s="23"/>
      <c r="J11" s="22"/>
      <c r="K11" s="23"/>
      <c r="L11" s="22"/>
      <c r="M11" s="23"/>
      <c r="O11" s="25" t="str">
        <f t="shared" si="1"/>
        <v>-</v>
      </c>
      <c r="P11" s="26">
        <f t="shared" si="2"/>
        <v>0</v>
      </c>
      <c r="Q11" s="27" t="str">
        <f t="shared" si="3"/>
        <v>-</v>
      </c>
      <c r="S11" s="13" t="str">
        <f t="shared" si="4"/>
        <v>vacation</v>
      </c>
      <c r="T11" s="14">
        <f t="shared" si="4"/>
        <v>0</v>
      </c>
      <c r="U11" s="13" t="str">
        <f t="shared" si="5"/>
        <v>-</v>
      </c>
      <c r="V11" s="14" t="str">
        <f t="shared" si="6"/>
        <v>-</v>
      </c>
    </row>
    <row r="12" spans="2:26" ht="13.5" thickBot="1" x14ac:dyDescent="0.25">
      <c r="B12" s="4" t="s">
        <v>12</v>
      </c>
      <c r="D12" s="20">
        <f>IF(D11="-","-",IF(D11+1=DATE(2021,2,1),"-",DATE(2021,1,7)))</f>
        <v>44203</v>
      </c>
      <c r="E12" s="29">
        <f t="shared" si="0"/>
        <v>0</v>
      </c>
      <c r="F12" s="13">
        <v>10</v>
      </c>
      <c r="G12" s="14">
        <v>32</v>
      </c>
      <c r="H12" s="13">
        <v>16</v>
      </c>
      <c r="I12" s="14">
        <v>38</v>
      </c>
      <c r="J12" s="13">
        <v>0</v>
      </c>
      <c r="K12" s="14">
        <v>0</v>
      </c>
      <c r="L12" s="13">
        <v>0</v>
      </c>
      <c r="M12" s="14">
        <v>0</v>
      </c>
      <c r="O12" s="25">
        <f t="shared" si="1"/>
        <v>6.1</v>
      </c>
      <c r="P12" s="26">
        <f t="shared" si="2"/>
        <v>6</v>
      </c>
      <c r="Q12" s="27">
        <f t="shared" si="3"/>
        <v>-1</v>
      </c>
      <c r="S12" s="13">
        <f t="shared" si="4"/>
        <v>10</v>
      </c>
      <c r="T12" s="14">
        <f t="shared" si="4"/>
        <v>32</v>
      </c>
      <c r="U12" s="13">
        <f t="shared" si="5"/>
        <v>16</v>
      </c>
      <c r="V12" s="14">
        <f t="shared" si="6"/>
        <v>37.999999999999972</v>
      </c>
    </row>
    <row r="13" spans="2:26" ht="13.5" thickBot="1" x14ac:dyDescent="0.25">
      <c r="B13" s="5">
        <f>SUM(Q6:Q47)</f>
        <v>-0.28333333333332966</v>
      </c>
      <c r="D13" s="20">
        <f>IF(D12="-","-",IF(D12+1=DATE(2021,2,1),"-",DATE(2021,1,8)))</f>
        <v>44204</v>
      </c>
      <c r="E13" s="29">
        <f t="shared" si="0"/>
        <v>0</v>
      </c>
      <c r="F13" s="13">
        <v>10</v>
      </c>
      <c r="G13" s="14">
        <v>47</v>
      </c>
      <c r="H13" s="13">
        <v>17</v>
      </c>
      <c r="I13" s="14">
        <v>10</v>
      </c>
      <c r="J13" s="13">
        <v>0</v>
      </c>
      <c r="K13" s="14">
        <v>0</v>
      </c>
      <c r="L13" s="13">
        <v>0</v>
      </c>
      <c r="M13" s="24">
        <v>0</v>
      </c>
      <c r="O13" s="25">
        <f t="shared" si="1"/>
        <v>6.3833333333333346</v>
      </c>
      <c r="P13" s="26">
        <f t="shared" si="2"/>
        <v>6</v>
      </c>
      <c r="Q13" s="27">
        <f t="shared" si="3"/>
        <v>-1</v>
      </c>
      <c r="S13" s="13">
        <f t="shared" si="4"/>
        <v>10</v>
      </c>
      <c r="T13" s="14">
        <f t="shared" si="4"/>
        <v>47</v>
      </c>
      <c r="U13" s="13">
        <f t="shared" si="5"/>
        <v>17</v>
      </c>
      <c r="V13" s="14">
        <f t="shared" si="6"/>
        <v>10.000000000000071</v>
      </c>
    </row>
    <row r="14" spans="2:26" x14ac:dyDescent="0.2">
      <c r="D14" s="20">
        <f>IF(D13="-","-",IF(D13+1=DATE(2021,2,1),"-",DATE(2021,1,9)))</f>
        <v>44205</v>
      </c>
      <c r="E14" s="29">
        <f t="shared" si="0"/>
        <v>1</v>
      </c>
      <c r="F14" s="22" t="s">
        <v>16</v>
      </c>
      <c r="G14" s="23" t="s">
        <v>16</v>
      </c>
      <c r="H14" s="22" t="s">
        <v>16</v>
      </c>
      <c r="I14" s="23" t="s">
        <v>16</v>
      </c>
      <c r="J14" s="22" t="s">
        <v>16</v>
      </c>
      <c r="K14" s="23" t="s">
        <v>16</v>
      </c>
      <c r="L14" s="22" t="s">
        <v>16</v>
      </c>
      <c r="M14" s="24" t="s">
        <v>16</v>
      </c>
      <c r="O14" s="25" t="str">
        <f t="shared" si="1"/>
        <v>-</v>
      </c>
      <c r="P14" s="26">
        <f t="shared" si="2"/>
        <v>0</v>
      </c>
      <c r="Q14" s="27" t="str">
        <f t="shared" si="3"/>
        <v>-</v>
      </c>
      <c r="S14" s="13" t="str">
        <f t="shared" si="4"/>
        <v>-</v>
      </c>
      <c r="T14" s="14" t="str">
        <f t="shared" si="4"/>
        <v>-</v>
      </c>
      <c r="U14" s="13" t="str">
        <f t="shared" si="5"/>
        <v>-</v>
      </c>
      <c r="V14" s="14" t="str">
        <f t="shared" si="6"/>
        <v>-</v>
      </c>
    </row>
    <row r="15" spans="2:26" x14ac:dyDescent="0.2">
      <c r="D15" s="20">
        <f>IF(D14="-","-",IF(D14+1=DATE(2021,2,1),"-",DATE(2021,1,10)))</f>
        <v>44206</v>
      </c>
      <c r="E15" s="29">
        <f t="shared" si="0"/>
        <v>1</v>
      </c>
      <c r="F15" s="22" t="s">
        <v>16</v>
      </c>
      <c r="G15" s="23" t="s">
        <v>16</v>
      </c>
      <c r="H15" s="22" t="s">
        <v>16</v>
      </c>
      <c r="I15" s="23" t="s">
        <v>16</v>
      </c>
      <c r="J15" s="22" t="s">
        <v>16</v>
      </c>
      <c r="K15" s="23" t="s">
        <v>16</v>
      </c>
      <c r="L15" s="22" t="s">
        <v>16</v>
      </c>
      <c r="M15" s="24" t="s">
        <v>16</v>
      </c>
      <c r="O15" s="25" t="str">
        <f t="shared" si="1"/>
        <v>-</v>
      </c>
      <c r="P15" s="26">
        <f t="shared" si="2"/>
        <v>0</v>
      </c>
      <c r="Q15" s="27" t="str">
        <f t="shared" si="3"/>
        <v>-</v>
      </c>
      <c r="S15" s="13" t="str">
        <f t="shared" si="4"/>
        <v>-</v>
      </c>
      <c r="T15" s="14" t="str">
        <f t="shared" si="4"/>
        <v>-</v>
      </c>
      <c r="U15" s="13" t="str">
        <f t="shared" si="5"/>
        <v>-</v>
      </c>
      <c r="V15" s="14" t="str">
        <f t="shared" si="6"/>
        <v>-</v>
      </c>
    </row>
    <row r="16" spans="2:26" x14ac:dyDescent="0.2">
      <c r="D16" s="20">
        <f>IF(D15="-","-",IF(D15+1=DATE(2021,2,1),"-",DATE(2021,1,11)))</f>
        <v>44207</v>
      </c>
      <c r="E16" s="29">
        <f t="shared" si="0"/>
        <v>0</v>
      </c>
      <c r="F16" s="13">
        <v>6</v>
      </c>
      <c r="G16" s="14">
        <v>50</v>
      </c>
      <c r="H16" s="13">
        <v>12</v>
      </c>
      <c r="I16" s="14">
        <v>36</v>
      </c>
      <c r="J16" s="13">
        <v>0</v>
      </c>
      <c r="K16" s="14">
        <v>0</v>
      </c>
      <c r="L16" s="13">
        <v>0</v>
      </c>
      <c r="M16" s="24">
        <v>0</v>
      </c>
      <c r="O16" s="25">
        <f t="shared" si="1"/>
        <v>5.7666666666666666</v>
      </c>
      <c r="P16" s="26">
        <f t="shared" si="2"/>
        <v>5.7666666666666666</v>
      </c>
      <c r="Q16" s="27">
        <f t="shared" si="3"/>
        <v>-1.2333333333333334</v>
      </c>
      <c r="S16" s="13">
        <f t="shared" si="4"/>
        <v>6</v>
      </c>
      <c r="T16" s="14">
        <f t="shared" si="4"/>
        <v>50</v>
      </c>
      <c r="U16" s="13">
        <f t="shared" si="5"/>
        <v>12</v>
      </c>
      <c r="V16" s="14">
        <f t="shared" si="6"/>
        <v>35.999999999999979</v>
      </c>
    </row>
    <row r="17" spans="2:25" x14ac:dyDescent="0.2">
      <c r="D17" s="20">
        <f>IF(D16="-","-",IF(D16+1=DATE(2021,2,1),"-",DATE(2021,1,12)))</f>
        <v>44208</v>
      </c>
      <c r="E17" s="29">
        <f t="shared" si="0"/>
        <v>0</v>
      </c>
      <c r="F17" s="13">
        <v>10</v>
      </c>
      <c r="G17" s="14">
        <v>10</v>
      </c>
      <c r="H17" s="13">
        <v>17</v>
      </c>
      <c r="I17" s="14">
        <v>24</v>
      </c>
      <c r="J17" s="13">
        <v>0</v>
      </c>
      <c r="K17" s="14">
        <v>0</v>
      </c>
      <c r="L17" s="13">
        <v>0</v>
      </c>
      <c r="M17" s="14">
        <v>0</v>
      </c>
      <c r="N17" s="1"/>
      <c r="O17" s="25">
        <f t="shared" si="1"/>
        <v>7.2333333333333325</v>
      </c>
      <c r="P17" s="26">
        <f t="shared" si="2"/>
        <v>6.5333333333333323</v>
      </c>
      <c r="Q17" s="27">
        <f t="shared" si="3"/>
        <v>-0.46666666666666767</v>
      </c>
      <c r="R17" s="1"/>
      <c r="S17" s="13">
        <f t="shared" si="4"/>
        <v>10</v>
      </c>
      <c r="T17" s="14">
        <f t="shared" si="4"/>
        <v>10</v>
      </c>
      <c r="U17" s="13">
        <f t="shared" si="5"/>
        <v>17</v>
      </c>
      <c r="V17" s="14">
        <f t="shared" si="6"/>
        <v>23.999999999999915</v>
      </c>
    </row>
    <row r="18" spans="2:25" x14ac:dyDescent="0.2">
      <c r="B18" s="72"/>
      <c r="D18" s="20">
        <f>IF(D17="-","-",IF(D17+1=DATE(2021,2,1),"-",DATE(2021,1,13)))</f>
        <v>44209</v>
      </c>
      <c r="E18" s="29">
        <f t="shared" si="0"/>
        <v>0</v>
      </c>
      <c r="F18" s="13">
        <v>8</v>
      </c>
      <c r="G18" s="14">
        <v>57</v>
      </c>
      <c r="H18" s="13">
        <v>18</v>
      </c>
      <c r="I18" s="14">
        <v>15</v>
      </c>
      <c r="J18" s="13">
        <v>0</v>
      </c>
      <c r="K18" s="14">
        <v>0</v>
      </c>
      <c r="L18" s="13">
        <v>0</v>
      </c>
      <c r="M18" s="14">
        <v>0</v>
      </c>
      <c r="N18" s="1"/>
      <c r="O18" s="25">
        <f t="shared" si="1"/>
        <v>9.3000000000000007</v>
      </c>
      <c r="P18" s="26">
        <f t="shared" si="2"/>
        <v>8.6000000000000014</v>
      </c>
      <c r="Q18" s="27">
        <f t="shared" si="3"/>
        <v>1.6000000000000014</v>
      </c>
      <c r="R18" s="1"/>
      <c r="S18" s="13">
        <f t="shared" si="4"/>
        <v>8</v>
      </c>
      <c r="T18" s="14">
        <f t="shared" si="4"/>
        <v>57</v>
      </c>
      <c r="U18" s="13">
        <f t="shared" si="5"/>
        <v>18</v>
      </c>
      <c r="V18" s="14">
        <f t="shared" si="6"/>
        <v>15</v>
      </c>
    </row>
    <row r="19" spans="2:25" x14ac:dyDescent="0.2">
      <c r="B19" s="73"/>
      <c r="D19" s="20">
        <f>IF(D18="-","-",IF(D18+1=DATE(2021,2,1),"-",DATE(2021,1,14)))</f>
        <v>44210</v>
      </c>
      <c r="E19" s="29">
        <f t="shared" si="0"/>
        <v>0</v>
      </c>
      <c r="F19" s="13">
        <v>8</v>
      </c>
      <c r="G19" s="14">
        <v>39</v>
      </c>
      <c r="H19" s="13">
        <v>16</v>
      </c>
      <c r="I19" s="14">
        <v>36</v>
      </c>
      <c r="J19" s="13">
        <v>0</v>
      </c>
      <c r="K19" s="14">
        <v>0</v>
      </c>
      <c r="L19" s="13">
        <v>0</v>
      </c>
      <c r="M19" s="14">
        <v>0</v>
      </c>
      <c r="N19" s="1"/>
      <c r="O19" s="25">
        <f t="shared" si="1"/>
        <v>7.9500000000000011</v>
      </c>
      <c r="P19" s="26">
        <f t="shared" si="2"/>
        <v>7.2500000000000009</v>
      </c>
      <c r="Q19" s="27">
        <f t="shared" si="3"/>
        <v>0.25000000000000089</v>
      </c>
      <c r="R19" s="1"/>
      <c r="S19" s="13">
        <f t="shared" si="4"/>
        <v>8</v>
      </c>
      <c r="T19" s="14">
        <f t="shared" si="4"/>
        <v>39</v>
      </c>
      <c r="U19" s="13">
        <f t="shared" si="5"/>
        <v>16</v>
      </c>
      <c r="V19" s="14">
        <f t="shared" si="6"/>
        <v>36.000000000000085</v>
      </c>
    </row>
    <row r="20" spans="2:25" x14ac:dyDescent="0.2">
      <c r="B20" s="74"/>
      <c r="D20" s="20">
        <f>IF(D19="-","-",IF(D19+1=DATE(2021,2,1),"-",DATE(2021,1,15)))</f>
        <v>44211</v>
      </c>
      <c r="E20" s="29">
        <f t="shared" si="0"/>
        <v>0</v>
      </c>
      <c r="F20" s="13">
        <v>8</v>
      </c>
      <c r="G20" s="14">
        <v>28</v>
      </c>
      <c r="H20" s="13">
        <v>16</v>
      </c>
      <c r="I20" s="14">
        <v>0</v>
      </c>
      <c r="J20" s="13">
        <v>0</v>
      </c>
      <c r="K20" s="14">
        <v>0</v>
      </c>
      <c r="L20" s="13">
        <v>0</v>
      </c>
      <c r="M20" s="14">
        <v>0</v>
      </c>
      <c r="N20" s="1"/>
      <c r="O20" s="25">
        <f t="shared" si="1"/>
        <v>7.5333333333333332</v>
      </c>
      <c r="P20" s="26">
        <f t="shared" si="2"/>
        <v>6.833333333333333</v>
      </c>
      <c r="Q20" s="27">
        <f t="shared" si="3"/>
        <v>-0.16666666666666696</v>
      </c>
      <c r="R20" s="1"/>
      <c r="S20" s="13">
        <f t="shared" si="4"/>
        <v>8</v>
      </c>
      <c r="T20" s="14">
        <f t="shared" si="4"/>
        <v>28</v>
      </c>
      <c r="U20" s="13">
        <f t="shared" si="5"/>
        <v>16</v>
      </c>
      <c r="V20" s="14">
        <f t="shared" si="6"/>
        <v>0</v>
      </c>
    </row>
    <row r="21" spans="2:25" x14ac:dyDescent="0.2">
      <c r="B21" s="74"/>
      <c r="D21" s="20">
        <f>IF(D20="-","-",IF(D20+1=DATE(2021,2,1),"-",DATE(2021,1,16)))</f>
        <v>44212</v>
      </c>
      <c r="E21" s="29">
        <f t="shared" si="0"/>
        <v>1</v>
      </c>
      <c r="F21" s="22" t="s">
        <v>16</v>
      </c>
      <c r="G21" s="23" t="s">
        <v>16</v>
      </c>
      <c r="H21" s="22" t="s">
        <v>16</v>
      </c>
      <c r="I21" s="23" t="s">
        <v>16</v>
      </c>
      <c r="J21" s="22" t="s">
        <v>16</v>
      </c>
      <c r="K21" s="23" t="s">
        <v>16</v>
      </c>
      <c r="L21" s="22" t="s">
        <v>16</v>
      </c>
      <c r="M21" s="23" t="s">
        <v>16</v>
      </c>
      <c r="N21" s="1"/>
      <c r="O21" s="25" t="str">
        <f t="shared" si="1"/>
        <v>-</v>
      </c>
      <c r="P21" s="26">
        <f t="shared" si="2"/>
        <v>0</v>
      </c>
      <c r="Q21" s="27" t="str">
        <f t="shared" si="3"/>
        <v>-</v>
      </c>
      <c r="R21" s="1"/>
      <c r="S21" s="13" t="str">
        <f t="shared" si="4"/>
        <v>-</v>
      </c>
      <c r="T21" s="14" t="str">
        <f t="shared" si="4"/>
        <v>-</v>
      </c>
      <c r="U21" s="13" t="str">
        <f t="shared" si="5"/>
        <v>-</v>
      </c>
      <c r="V21" s="14" t="str">
        <f t="shared" si="6"/>
        <v>-</v>
      </c>
    </row>
    <row r="22" spans="2:25" ht="13.5" thickBot="1" x14ac:dyDescent="0.25">
      <c r="B22" s="74"/>
      <c r="D22" s="20">
        <f>IF(D21="-","-",IF(D21+1=DATE(2021,2,1),"-",DATE(2021,1,17)))</f>
        <v>44213</v>
      </c>
      <c r="E22" s="29">
        <f t="shared" si="0"/>
        <v>1</v>
      </c>
      <c r="F22" s="22" t="s">
        <v>16</v>
      </c>
      <c r="G22" s="23" t="s">
        <v>16</v>
      </c>
      <c r="H22" s="22" t="s">
        <v>16</v>
      </c>
      <c r="I22" s="23" t="s">
        <v>16</v>
      </c>
      <c r="J22" s="22" t="s">
        <v>16</v>
      </c>
      <c r="K22" s="23" t="s">
        <v>16</v>
      </c>
      <c r="L22" s="22" t="s">
        <v>16</v>
      </c>
      <c r="M22" s="23" t="s">
        <v>16</v>
      </c>
      <c r="N22" s="1"/>
      <c r="O22" s="25" t="str">
        <f t="shared" si="1"/>
        <v>-</v>
      </c>
      <c r="P22" s="26">
        <f t="shared" si="2"/>
        <v>0</v>
      </c>
      <c r="Q22" s="27" t="str">
        <f t="shared" si="3"/>
        <v>-</v>
      </c>
      <c r="R22" s="1"/>
      <c r="S22" s="13" t="str">
        <f t="shared" si="4"/>
        <v>-</v>
      </c>
      <c r="T22" s="14" t="str">
        <f t="shared" si="4"/>
        <v>-</v>
      </c>
      <c r="U22" s="13" t="str">
        <f t="shared" si="5"/>
        <v>-</v>
      </c>
      <c r="V22" s="14" t="str">
        <f t="shared" si="6"/>
        <v>-</v>
      </c>
    </row>
    <row r="23" spans="2:25" ht="13.5" thickBot="1" x14ac:dyDescent="0.25">
      <c r="B23" s="74"/>
      <c r="D23" s="20">
        <f>IF(D22="-","-",IF(D22+1=DATE(2021,2,1),"-",DATE(2021,1,18)))</f>
        <v>44214</v>
      </c>
      <c r="E23" s="29">
        <f t="shared" si="0"/>
        <v>0</v>
      </c>
      <c r="F23" s="13">
        <v>6</v>
      </c>
      <c r="G23" s="14">
        <v>50</v>
      </c>
      <c r="H23" s="13">
        <v>16</v>
      </c>
      <c r="I23" s="14">
        <v>38</v>
      </c>
      <c r="J23" s="13">
        <v>0</v>
      </c>
      <c r="K23" s="14">
        <v>0</v>
      </c>
      <c r="L23" s="13">
        <v>0</v>
      </c>
      <c r="M23" s="24">
        <v>0</v>
      </c>
      <c r="N23" s="1"/>
      <c r="O23" s="25">
        <f t="shared" si="1"/>
        <v>9.8000000000000007</v>
      </c>
      <c r="P23" s="26">
        <f t="shared" si="2"/>
        <v>9.1000000000000014</v>
      </c>
      <c r="Q23" s="27">
        <f t="shared" si="3"/>
        <v>2.1000000000000014</v>
      </c>
      <c r="R23" s="1"/>
      <c r="S23" s="13">
        <f t="shared" si="4"/>
        <v>6</v>
      </c>
      <c r="T23" s="14">
        <f t="shared" si="4"/>
        <v>50</v>
      </c>
      <c r="U23" s="13">
        <f t="shared" si="5"/>
        <v>16</v>
      </c>
      <c r="V23" s="14">
        <f t="shared" si="6"/>
        <v>37.999999999999972</v>
      </c>
      <c r="Y23" s="31"/>
    </row>
    <row r="24" spans="2:25" ht="13.5" thickBot="1" x14ac:dyDescent="0.25">
      <c r="B24" s="74"/>
      <c r="D24" s="20">
        <f>IF(D23="-","-",IF(D23+1=DATE(2021,2,1),"-",DATE(2021,1,19)))</f>
        <v>44215</v>
      </c>
      <c r="E24" s="29">
        <f t="shared" si="0"/>
        <v>0</v>
      </c>
      <c r="F24" s="13">
        <v>8</v>
      </c>
      <c r="G24" s="14">
        <v>53</v>
      </c>
      <c r="H24" s="13">
        <v>16</v>
      </c>
      <c r="I24" s="14">
        <v>42</v>
      </c>
      <c r="J24" s="13">
        <v>0</v>
      </c>
      <c r="K24" s="14">
        <v>0</v>
      </c>
      <c r="L24" s="13">
        <v>0</v>
      </c>
      <c r="M24" s="14">
        <v>0</v>
      </c>
      <c r="N24" s="1"/>
      <c r="O24" s="25">
        <f t="shared" si="1"/>
        <v>7.8166666666666664</v>
      </c>
      <c r="P24" s="26">
        <f t="shared" si="2"/>
        <v>7.1166666666666663</v>
      </c>
      <c r="Q24" s="27">
        <f t="shared" si="3"/>
        <v>0.11666666666666625</v>
      </c>
      <c r="R24" s="1"/>
      <c r="S24" s="13">
        <f t="shared" si="4"/>
        <v>8</v>
      </c>
      <c r="T24" s="14">
        <f t="shared" si="4"/>
        <v>53</v>
      </c>
      <c r="U24" s="13">
        <f t="shared" si="5"/>
        <v>16</v>
      </c>
      <c r="V24" s="14">
        <f t="shared" si="6"/>
        <v>41.999999999999957</v>
      </c>
    </row>
    <row r="25" spans="2:25" ht="13.5" thickBot="1" x14ac:dyDescent="0.25">
      <c r="D25" s="20">
        <f>IF(D24="-","-",IF(D24+1=DATE(2021,2,1),"-",DATE(2021,1,20)))</f>
        <v>44216</v>
      </c>
      <c r="E25" s="29">
        <f t="shared" si="0"/>
        <v>0</v>
      </c>
      <c r="F25" s="13">
        <v>8</v>
      </c>
      <c r="G25" s="14">
        <v>40</v>
      </c>
      <c r="H25" s="13">
        <v>17</v>
      </c>
      <c r="I25" s="14">
        <v>19</v>
      </c>
      <c r="J25" s="13">
        <v>0</v>
      </c>
      <c r="K25" s="14">
        <v>0</v>
      </c>
      <c r="L25" s="13">
        <v>0</v>
      </c>
      <c r="M25" s="14">
        <v>0</v>
      </c>
      <c r="N25" s="1"/>
      <c r="O25" s="25">
        <f t="shared" si="1"/>
        <v>8.65</v>
      </c>
      <c r="P25" s="26">
        <f t="shared" si="2"/>
        <v>7.95</v>
      </c>
      <c r="Q25" s="27">
        <f t="shared" si="3"/>
        <v>0.95000000000000018</v>
      </c>
      <c r="R25" s="1"/>
      <c r="S25" s="13">
        <f t="shared" si="4"/>
        <v>8</v>
      </c>
      <c r="T25" s="14">
        <f t="shared" si="4"/>
        <v>40</v>
      </c>
      <c r="U25" s="13">
        <f t="shared" si="5"/>
        <v>17</v>
      </c>
      <c r="V25" s="14">
        <f t="shared" si="6"/>
        <v>18.999999999999986</v>
      </c>
      <c r="X25" s="31"/>
    </row>
    <row r="26" spans="2:25" x14ac:dyDescent="0.2">
      <c r="D26" s="20">
        <f>IF(D25="-","-",IF(D25+1=DATE(2021,2,1),"-",DATE(2021,1,21)))</f>
        <v>44217</v>
      </c>
      <c r="E26" s="29">
        <f t="shared" si="0"/>
        <v>0</v>
      </c>
      <c r="F26" s="13">
        <v>10</v>
      </c>
      <c r="G26" s="14">
        <v>12</v>
      </c>
      <c r="H26" s="13">
        <v>15</v>
      </c>
      <c r="I26" s="14">
        <v>17</v>
      </c>
      <c r="J26" s="13">
        <v>0</v>
      </c>
      <c r="K26" s="14">
        <v>0</v>
      </c>
      <c r="L26" s="13">
        <v>0</v>
      </c>
      <c r="M26" s="14">
        <v>0</v>
      </c>
      <c r="N26" s="1"/>
      <c r="O26" s="25">
        <f t="shared" si="1"/>
        <v>5.0833333333333339</v>
      </c>
      <c r="P26" s="26">
        <f t="shared" si="2"/>
        <v>5.0833333333333339</v>
      </c>
      <c r="Q26" s="27">
        <f t="shared" si="3"/>
        <v>-1.9166666666666661</v>
      </c>
      <c r="R26" s="1"/>
      <c r="S26" s="13">
        <f t="shared" si="4"/>
        <v>10</v>
      </c>
      <c r="T26" s="14">
        <f t="shared" si="4"/>
        <v>12</v>
      </c>
      <c r="U26" s="13">
        <f t="shared" si="5"/>
        <v>15</v>
      </c>
      <c r="V26" s="14">
        <f t="shared" si="6"/>
        <v>16.999999999999993</v>
      </c>
    </row>
    <row r="27" spans="2:25" x14ac:dyDescent="0.2">
      <c r="D27" s="20">
        <f>IF(D26="-","-",IF(D26+1=DATE(2021,2,1),"-",DATE(2021,1,22)))</f>
        <v>44218</v>
      </c>
      <c r="E27" s="29">
        <f t="shared" si="0"/>
        <v>0</v>
      </c>
      <c r="F27" s="13">
        <v>10</v>
      </c>
      <c r="G27" s="14">
        <v>30</v>
      </c>
      <c r="H27" s="13">
        <v>17</v>
      </c>
      <c r="I27" s="14">
        <v>25</v>
      </c>
      <c r="J27" s="13">
        <v>0</v>
      </c>
      <c r="K27" s="14">
        <v>0</v>
      </c>
      <c r="L27" s="13">
        <v>0</v>
      </c>
      <c r="M27" s="14">
        <v>0</v>
      </c>
      <c r="N27" s="1"/>
      <c r="O27" s="25">
        <f t="shared" si="1"/>
        <v>6.9166666666666679</v>
      </c>
      <c r="P27" s="26">
        <f t="shared" si="2"/>
        <v>6.2166666666666677</v>
      </c>
      <c r="Q27" s="27">
        <f t="shared" si="3"/>
        <v>-0.78333333333333233</v>
      </c>
      <c r="R27" s="1"/>
      <c r="S27" s="13">
        <f t="shared" si="4"/>
        <v>10</v>
      </c>
      <c r="T27" s="14">
        <f t="shared" si="4"/>
        <v>30</v>
      </c>
      <c r="U27" s="13">
        <f t="shared" si="5"/>
        <v>17</v>
      </c>
      <c r="V27" s="14">
        <f t="shared" si="6"/>
        <v>25.000000000000071</v>
      </c>
    </row>
    <row r="28" spans="2:25" x14ac:dyDescent="0.2">
      <c r="D28" s="20">
        <f>IF(D27="-","-",IF(D27+1=DATE(2021,2,1),"-",DATE(2021,1,23)))</f>
        <v>44219</v>
      </c>
      <c r="E28" s="29">
        <f t="shared" si="0"/>
        <v>1</v>
      </c>
      <c r="F28" s="13" t="s">
        <v>16</v>
      </c>
      <c r="G28" s="14" t="s">
        <v>16</v>
      </c>
      <c r="H28" s="13" t="s">
        <v>16</v>
      </c>
      <c r="I28" s="14" t="s">
        <v>16</v>
      </c>
      <c r="J28" s="13" t="s">
        <v>16</v>
      </c>
      <c r="K28" s="14" t="s">
        <v>16</v>
      </c>
      <c r="L28" s="13" t="s">
        <v>16</v>
      </c>
      <c r="M28" s="14" t="s">
        <v>16</v>
      </c>
      <c r="N28" s="1"/>
      <c r="O28" s="25" t="str">
        <f t="shared" si="1"/>
        <v>-</v>
      </c>
      <c r="P28" s="26">
        <f t="shared" si="2"/>
        <v>0</v>
      </c>
      <c r="Q28" s="27" t="str">
        <f t="shared" si="3"/>
        <v>-</v>
      </c>
      <c r="R28" s="1"/>
      <c r="S28" s="13" t="str">
        <f t="shared" si="4"/>
        <v>-</v>
      </c>
      <c r="T28" s="14" t="str">
        <f t="shared" si="4"/>
        <v>-</v>
      </c>
      <c r="U28" s="13" t="str">
        <f t="shared" si="5"/>
        <v>-</v>
      </c>
      <c r="V28" s="14" t="str">
        <f t="shared" si="6"/>
        <v>-</v>
      </c>
    </row>
    <row r="29" spans="2:25" x14ac:dyDescent="0.2">
      <c r="D29" s="20">
        <f>IF(D28="-","-",IF(D28+1=DATE(2021,2,1),"-",DATE(2021,1,24)))</f>
        <v>44220</v>
      </c>
      <c r="E29" s="29">
        <f t="shared" si="0"/>
        <v>1</v>
      </c>
      <c r="F29" s="13" t="s">
        <v>16</v>
      </c>
      <c r="G29" s="14" t="s">
        <v>16</v>
      </c>
      <c r="H29" s="13" t="s">
        <v>16</v>
      </c>
      <c r="I29" s="14" t="s">
        <v>16</v>
      </c>
      <c r="J29" s="13" t="s">
        <v>16</v>
      </c>
      <c r="K29" s="14" t="s">
        <v>16</v>
      </c>
      <c r="L29" s="13" t="s">
        <v>16</v>
      </c>
      <c r="M29" s="14" t="s">
        <v>16</v>
      </c>
      <c r="N29" s="1"/>
      <c r="O29" s="25" t="str">
        <f t="shared" si="1"/>
        <v>-</v>
      </c>
      <c r="P29" s="26">
        <f t="shared" si="2"/>
        <v>0</v>
      </c>
      <c r="Q29" s="27" t="str">
        <f t="shared" si="3"/>
        <v>-</v>
      </c>
      <c r="R29" s="1"/>
      <c r="S29" s="13" t="str">
        <f t="shared" si="4"/>
        <v>-</v>
      </c>
      <c r="T29" s="14" t="str">
        <f t="shared" si="4"/>
        <v>-</v>
      </c>
      <c r="U29" s="13" t="str">
        <f t="shared" si="5"/>
        <v>-</v>
      </c>
      <c r="V29" s="14" t="str">
        <f t="shared" si="6"/>
        <v>-</v>
      </c>
    </row>
    <row r="30" spans="2:25" x14ac:dyDescent="0.2">
      <c r="D30" s="20">
        <f>IF(D29="-","-",IF(D29+1=DATE(2021,2,1),"-",DATE(2021,1,25)))</f>
        <v>44221</v>
      </c>
      <c r="E30" s="29">
        <f t="shared" si="0"/>
        <v>0</v>
      </c>
      <c r="F30" s="13">
        <v>10</v>
      </c>
      <c r="G30" s="14">
        <v>29</v>
      </c>
      <c r="H30" s="13">
        <v>18</v>
      </c>
      <c r="I30" s="14">
        <v>31</v>
      </c>
      <c r="J30" s="13">
        <v>0</v>
      </c>
      <c r="K30" s="14">
        <v>0</v>
      </c>
      <c r="L30" s="13">
        <v>0</v>
      </c>
      <c r="M30" s="14">
        <v>0</v>
      </c>
      <c r="N30" s="1"/>
      <c r="O30" s="25">
        <f t="shared" si="1"/>
        <v>8.0333333333333332</v>
      </c>
      <c r="P30" s="26">
        <f t="shared" si="2"/>
        <v>7.333333333333333</v>
      </c>
      <c r="Q30" s="27">
        <f t="shared" si="3"/>
        <v>0.33333333333333304</v>
      </c>
      <c r="R30" s="1"/>
      <c r="S30" s="13">
        <f t="shared" si="4"/>
        <v>10</v>
      </c>
      <c r="T30" s="14">
        <f t="shared" si="4"/>
        <v>29</v>
      </c>
      <c r="U30" s="13">
        <f t="shared" si="5"/>
        <v>18</v>
      </c>
      <c r="V30" s="14">
        <f t="shared" si="6"/>
        <v>30.999999999999943</v>
      </c>
    </row>
    <row r="31" spans="2:25" x14ac:dyDescent="0.2">
      <c r="D31" s="20">
        <f>IF(D30="-","-",IF(D30+1=DATE(2021,2,1),"-",DATE(2021,1,26)))</f>
        <v>44222</v>
      </c>
      <c r="E31" s="29">
        <f t="shared" si="0"/>
        <v>0</v>
      </c>
      <c r="F31" s="13">
        <v>10</v>
      </c>
      <c r="G31" s="14">
        <v>13</v>
      </c>
      <c r="H31" s="13">
        <v>18</v>
      </c>
      <c r="I31" s="14">
        <v>6</v>
      </c>
      <c r="J31" s="13">
        <v>0</v>
      </c>
      <c r="K31" s="14">
        <v>0</v>
      </c>
      <c r="L31" s="13">
        <v>0</v>
      </c>
      <c r="M31" s="14">
        <v>0</v>
      </c>
      <c r="N31" s="1"/>
      <c r="O31" s="25">
        <f t="shared" si="1"/>
        <v>7.8833333333333346</v>
      </c>
      <c r="P31" s="26">
        <f t="shared" si="2"/>
        <v>7.1833333333333345</v>
      </c>
      <c r="Q31" s="27">
        <f t="shared" si="3"/>
        <v>0.18333333333333446</v>
      </c>
      <c r="R31" s="1"/>
      <c r="S31" s="13">
        <f t="shared" si="4"/>
        <v>10</v>
      </c>
      <c r="T31" s="14">
        <f t="shared" si="4"/>
        <v>13</v>
      </c>
      <c r="U31" s="13">
        <f t="shared" si="5"/>
        <v>18</v>
      </c>
      <c r="V31" s="14">
        <f t="shared" si="6"/>
        <v>6.0000000000000853</v>
      </c>
    </row>
    <row r="32" spans="2:25" x14ac:dyDescent="0.2">
      <c r="D32" s="20">
        <f>IF(D31="-","-",IF(D31+1=DATE(2021,2,1),"-",DATE(2021,1,27)))</f>
        <v>44223</v>
      </c>
      <c r="E32" s="29">
        <f t="shared" si="0"/>
        <v>0</v>
      </c>
      <c r="F32" s="13">
        <v>9</v>
      </c>
      <c r="G32" s="14">
        <v>33</v>
      </c>
      <c r="H32" s="13">
        <v>18</v>
      </c>
      <c r="I32" s="14">
        <v>0</v>
      </c>
      <c r="J32" s="13">
        <v>0</v>
      </c>
      <c r="K32" s="14">
        <v>0</v>
      </c>
      <c r="L32" s="13">
        <v>0</v>
      </c>
      <c r="M32" s="14">
        <v>0</v>
      </c>
      <c r="N32" s="1"/>
      <c r="O32" s="25">
        <f t="shared" si="1"/>
        <v>8.4499999999999993</v>
      </c>
      <c r="P32" s="26">
        <f t="shared" si="2"/>
        <v>7.7499999999999991</v>
      </c>
      <c r="Q32" s="27">
        <f t="shared" si="3"/>
        <v>0.74999999999999911</v>
      </c>
      <c r="R32" s="1"/>
      <c r="S32" s="13">
        <f t="shared" si="4"/>
        <v>9</v>
      </c>
      <c r="T32" s="14">
        <f t="shared" si="4"/>
        <v>33</v>
      </c>
      <c r="U32" s="13">
        <f t="shared" si="5"/>
        <v>18</v>
      </c>
      <c r="V32" s="14">
        <f t="shared" si="6"/>
        <v>0</v>
      </c>
    </row>
    <row r="33" spans="2:22" x14ac:dyDescent="0.2">
      <c r="D33" s="20">
        <f>IF(D32="-","-",IF(D32+1=DATE(2021,2,1),"-",DATE(2021,1,28)))</f>
        <v>44224</v>
      </c>
      <c r="E33" s="29">
        <f t="shared" si="0"/>
        <v>0</v>
      </c>
      <c r="F33" s="22"/>
      <c r="G33" s="23"/>
      <c r="H33" s="22"/>
      <c r="I33" s="23"/>
      <c r="J33" s="22"/>
      <c r="K33" s="23"/>
      <c r="L33" s="22"/>
      <c r="M33" s="23"/>
      <c r="N33" s="1"/>
      <c r="O33" s="25">
        <f t="shared" si="1"/>
        <v>0</v>
      </c>
      <c r="P33" s="26">
        <f t="shared" si="2"/>
        <v>0</v>
      </c>
      <c r="Q33" s="27" t="str">
        <f t="shared" si="3"/>
        <v>-</v>
      </c>
      <c r="R33" s="1"/>
      <c r="S33" s="13">
        <f t="shared" si="4"/>
        <v>0</v>
      </c>
      <c r="T33" s="14">
        <f t="shared" si="4"/>
        <v>0</v>
      </c>
      <c r="U33" s="13">
        <f t="shared" si="5"/>
        <v>0</v>
      </c>
      <c r="V33" s="14">
        <f t="shared" si="6"/>
        <v>0</v>
      </c>
    </row>
    <row r="34" spans="2:22" x14ac:dyDescent="0.2">
      <c r="D34" s="20">
        <f>IF(D33="-","-",IF(D33+1=DATE(2021,2,1),"-",DATE(2021,1,29)))</f>
        <v>44225</v>
      </c>
      <c r="E34" s="29">
        <f t="shared" si="0"/>
        <v>0</v>
      </c>
      <c r="F34" s="22"/>
      <c r="G34" s="23"/>
      <c r="H34" s="22"/>
      <c r="I34" s="23"/>
      <c r="J34" s="22"/>
      <c r="K34" s="23"/>
      <c r="L34" s="22"/>
      <c r="M34" s="23"/>
      <c r="N34" s="1"/>
      <c r="O34" s="25">
        <f t="shared" si="1"/>
        <v>0</v>
      </c>
      <c r="P34" s="26">
        <f t="shared" si="2"/>
        <v>0</v>
      </c>
      <c r="Q34" s="27" t="str">
        <f t="shared" si="3"/>
        <v>-</v>
      </c>
      <c r="R34" s="1"/>
      <c r="S34" s="13">
        <f t="shared" si="4"/>
        <v>0</v>
      </c>
      <c r="T34" s="14">
        <f t="shared" si="4"/>
        <v>0</v>
      </c>
      <c r="U34" s="13">
        <f t="shared" si="5"/>
        <v>0</v>
      </c>
      <c r="V34" s="14">
        <f t="shared" si="6"/>
        <v>0</v>
      </c>
    </row>
    <row r="35" spans="2:22" x14ac:dyDescent="0.2">
      <c r="D35" s="20">
        <f>IF(D34="-","-",IF(D34+1=DATE(2021,2,1),"-",DATE(2021,1,30)))</f>
        <v>44226</v>
      </c>
      <c r="E35" s="29">
        <f t="shared" si="0"/>
        <v>1</v>
      </c>
      <c r="F35" s="22" t="s">
        <v>16</v>
      </c>
      <c r="G35" s="23" t="s">
        <v>16</v>
      </c>
      <c r="H35" s="22" t="s">
        <v>16</v>
      </c>
      <c r="I35" s="23" t="s">
        <v>16</v>
      </c>
      <c r="J35" s="22" t="s">
        <v>16</v>
      </c>
      <c r="K35" s="23" t="s">
        <v>16</v>
      </c>
      <c r="L35" s="22" t="s">
        <v>16</v>
      </c>
      <c r="M35" s="23" t="s">
        <v>16</v>
      </c>
      <c r="N35" s="1"/>
      <c r="O35" s="25" t="str">
        <f t="shared" si="1"/>
        <v>-</v>
      </c>
      <c r="P35" s="26">
        <f t="shared" si="2"/>
        <v>0</v>
      </c>
      <c r="Q35" s="27" t="str">
        <f t="shared" si="3"/>
        <v>-</v>
      </c>
      <c r="R35" s="1"/>
      <c r="S35" s="13" t="str">
        <f t="shared" si="4"/>
        <v>-</v>
      </c>
      <c r="T35" s="14" t="str">
        <f t="shared" si="4"/>
        <v>-</v>
      </c>
      <c r="U35" s="13" t="str">
        <f t="shared" si="5"/>
        <v>-</v>
      </c>
      <c r="V35" s="14" t="str">
        <f t="shared" si="6"/>
        <v>-</v>
      </c>
    </row>
    <row r="36" spans="2:22" ht="13.5" thickBot="1" x14ac:dyDescent="0.25">
      <c r="D36" s="51">
        <f>IF(D35="-","-",IF(D35+1=DATE(2021,2,1),"-",DATE(2021,1,31)))</f>
        <v>44227</v>
      </c>
      <c r="E36" s="29">
        <f t="shared" si="0"/>
        <v>1</v>
      </c>
      <c r="F36" s="33" t="s">
        <v>16</v>
      </c>
      <c r="G36" s="34" t="s">
        <v>16</v>
      </c>
      <c r="H36" s="33" t="s">
        <v>16</v>
      </c>
      <c r="I36" s="34" t="s">
        <v>16</v>
      </c>
      <c r="J36" s="33" t="s">
        <v>16</v>
      </c>
      <c r="K36" s="34" t="s">
        <v>16</v>
      </c>
      <c r="L36" s="33" t="s">
        <v>16</v>
      </c>
      <c r="M36" s="34" t="s">
        <v>16</v>
      </c>
      <c r="N36" s="1"/>
      <c r="O36" s="35" t="str">
        <f t="shared" si="1"/>
        <v>-</v>
      </c>
      <c r="P36" s="44">
        <f t="shared" si="2"/>
        <v>0</v>
      </c>
      <c r="Q36" s="36" t="str">
        <f t="shared" si="3"/>
        <v>-</v>
      </c>
      <c r="R36" s="1"/>
      <c r="S36" s="37" t="str">
        <f t="shared" si="4"/>
        <v>-</v>
      </c>
      <c r="T36" s="38" t="str">
        <f t="shared" si="4"/>
        <v>-</v>
      </c>
      <c r="U36" s="37" t="str">
        <f t="shared" si="5"/>
        <v>-</v>
      </c>
      <c r="V36" s="38" t="str">
        <f t="shared" si="6"/>
        <v>-</v>
      </c>
    </row>
    <row r="37" spans="2:22" x14ac:dyDescent="0.2">
      <c r="D37" s="46"/>
      <c r="E37" s="47"/>
      <c r="F37" s="48"/>
      <c r="G37" s="48"/>
      <c r="H37" s="48"/>
      <c r="I37" s="48"/>
      <c r="J37" s="48"/>
      <c r="K37" s="48"/>
      <c r="L37" s="48"/>
      <c r="M37" s="48"/>
      <c r="N37" s="48"/>
      <c r="O37" s="26"/>
      <c r="P37" s="26"/>
      <c r="Q37" s="26"/>
      <c r="R37" s="48"/>
      <c r="S37" s="49"/>
      <c r="T37" s="49"/>
      <c r="U37" s="49"/>
      <c r="V37" s="49"/>
    </row>
    <row r="38" spans="2:22" x14ac:dyDescent="0.2">
      <c r="D38" s="46"/>
      <c r="E38" s="47"/>
      <c r="F38" s="48"/>
      <c r="G38" s="48"/>
      <c r="H38" s="48"/>
      <c r="I38" s="48"/>
      <c r="J38" s="48"/>
      <c r="K38" s="48"/>
      <c r="L38" s="48"/>
      <c r="M38" s="48"/>
      <c r="N38" s="48"/>
      <c r="O38" s="26"/>
      <c r="P38" s="26"/>
      <c r="Q38" s="26"/>
      <c r="R38" s="48"/>
      <c r="S38" s="49"/>
      <c r="T38" s="49"/>
      <c r="U38" s="49"/>
      <c r="V38" s="49"/>
    </row>
    <row r="39" spans="2:22" x14ac:dyDescent="0.2">
      <c r="B39" s="50"/>
      <c r="D39" s="46"/>
      <c r="E39" s="47"/>
      <c r="F39" s="48"/>
      <c r="G39" s="48"/>
      <c r="H39" s="48"/>
      <c r="I39" s="48"/>
      <c r="J39" s="48"/>
      <c r="K39" s="48"/>
      <c r="L39" s="48"/>
      <c r="M39" s="48"/>
      <c r="N39" s="48"/>
      <c r="O39" s="26"/>
      <c r="P39" s="26"/>
      <c r="Q39" s="26"/>
      <c r="R39" s="48"/>
      <c r="S39" s="49"/>
      <c r="T39" s="49"/>
      <c r="U39" s="49"/>
      <c r="V39" s="49"/>
    </row>
    <row r="40" spans="2:22" x14ac:dyDescent="0.2">
      <c r="D40" s="46"/>
      <c r="E40" s="47"/>
      <c r="F40" s="48"/>
      <c r="G40" s="48"/>
      <c r="H40" s="48"/>
      <c r="I40" s="48"/>
      <c r="J40" s="48"/>
      <c r="K40" s="48"/>
      <c r="L40" s="48"/>
      <c r="M40" s="48"/>
      <c r="N40" s="48"/>
      <c r="O40" s="26"/>
      <c r="P40" s="26"/>
      <c r="Q40" s="26"/>
      <c r="R40" s="48"/>
      <c r="S40" s="49"/>
      <c r="T40" s="49"/>
      <c r="U40" s="49"/>
      <c r="V40" s="49"/>
    </row>
    <row r="41" spans="2:22" x14ac:dyDescent="0.2">
      <c r="D41" s="46"/>
      <c r="E41" s="47"/>
      <c r="F41" s="48"/>
      <c r="G41" s="48"/>
      <c r="H41" s="48"/>
      <c r="I41" s="48"/>
      <c r="J41" s="48"/>
      <c r="K41" s="48"/>
      <c r="L41" s="48"/>
      <c r="M41" s="48"/>
      <c r="N41" s="48"/>
      <c r="O41" s="26"/>
      <c r="P41" s="26"/>
      <c r="Q41" s="26"/>
      <c r="R41" s="48"/>
      <c r="S41" s="49"/>
      <c r="T41" s="49"/>
      <c r="U41" s="49"/>
      <c r="V41" s="49"/>
    </row>
    <row r="42" spans="2:22" x14ac:dyDescent="0.2">
      <c r="D42" s="46"/>
      <c r="E42" s="47"/>
      <c r="F42" s="48"/>
      <c r="G42" s="48"/>
      <c r="H42" s="48"/>
      <c r="I42" s="48"/>
      <c r="J42" s="48"/>
      <c r="K42" s="48"/>
      <c r="L42" s="48"/>
      <c r="M42" s="48"/>
      <c r="N42" s="48"/>
      <c r="O42" s="26"/>
      <c r="P42" s="26"/>
      <c r="Q42" s="26"/>
      <c r="R42" s="48"/>
      <c r="S42" s="49"/>
      <c r="T42" s="49"/>
      <c r="U42" s="49"/>
      <c r="V42" s="49"/>
    </row>
    <row r="43" spans="2:22" x14ac:dyDescent="0.2">
      <c r="D43" s="46"/>
      <c r="E43" s="47"/>
      <c r="F43" s="48"/>
      <c r="G43" s="48"/>
      <c r="H43" s="48"/>
      <c r="I43" s="48"/>
      <c r="J43" s="48"/>
      <c r="K43" s="48"/>
      <c r="L43" s="48"/>
      <c r="M43" s="48"/>
      <c r="N43" s="48"/>
      <c r="O43" s="26"/>
      <c r="P43" s="26"/>
      <c r="Q43" s="26"/>
      <c r="R43" s="48"/>
      <c r="S43" s="49"/>
      <c r="T43" s="49"/>
      <c r="U43" s="49"/>
      <c r="V43" s="49"/>
    </row>
    <row r="44" spans="2:22" x14ac:dyDescent="0.2">
      <c r="D44" s="46"/>
      <c r="E44" s="47"/>
      <c r="F44" s="48"/>
      <c r="G44" s="48"/>
      <c r="H44" s="48"/>
      <c r="I44" s="48"/>
      <c r="J44" s="48"/>
      <c r="K44" s="48"/>
      <c r="L44" s="48"/>
      <c r="M44" s="48"/>
      <c r="N44" s="48"/>
      <c r="O44" s="26"/>
      <c r="P44" s="26"/>
      <c r="Q44" s="26"/>
      <c r="R44" s="48"/>
      <c r="S44" s="49"/>
      <c r="T44" s="49"/>
      <c r="U44" s="49"/>
      <c r="V44" s="49"/>
    </row>
    <row r="45" spans="2:22" x14ac:dyDescent="0.2">
      <c r="D45" s="46"/>
      <c r="E45" s="47"/>
      <c r="F45" s="48"/>
      <c r="G45" s="48"/>
      <c r="H45" s="48"/>
      <c r="I45" s="48"/>
      <c r="J45" s="48"/>
      <c r="K45" s="48"/>
      <c r="L45" s="48"/>
      <c r="M45" s="48"/>
      <c r="N45" s="48"/>
      <c r="O45" s="26"/>
      <c r="P45" s="26"/>
      <c r="Q45" s="26"/>
      <c r="R45" s="48"/>
      <c r="S45" s="49"/>
      <c r="T45" s="49"/>
      <c r="U45" s="49"/>
      <c r="V45" s="49"/>
    </row>
    <row r="46" spans="2:22" x14ac:dyDescent="0.2">
      <c r="D46" s="46"/>
      <c r="E46" s="47"/>
      <c r="F46" s="48"/>
      <c r="G46" s="48"/>
      <c r="H46" s="48"/>
      <c r="I46" s="48"/>
      <c r="J46" s="48"/>
      <c r="K46" s="48"/>
      <c r="L46" s="48"/>
      <c r="M46" s="48"/>
      <c r="N46" s="48"/>
      <c r="O46" s="26"/>
      <c r="P46" s="26"/>
      <c r="Q46" s="26"/>
      <c r="R46" s="48"/>
      <c r="S46" s="49"/>
      <c r="T46" s="49"/>
      <c r="U46" s="49"/>
      <c r="V46" s="49"/>
    </row>
    <row r="47" spans="2:22" x14ac:dyDescent="0.2">
      <c r="D47" s="46"/>
      <c r="E47" s="47"/>
      <c r="F47" s="48"/>
      <c r="G47" s="48"/>
      <c r="H47" s="48"/>
      <c r="I47" s="48"/>
      <c r="J47" s="48"/>
      <c r="K47" s="48"/>
      <c r="L47" s="48"/>
      <c r="M47" s="48"/>
      <c r="N47" s="48"/>
      <c r="O47" s="26"/>
      <c r="P47" s="26"/>
      <c r="Q47" s="26"/>
      <c r="R47" s="48"/>
      <c r="S47" s="49"/>
      <c r="T47" s="49"/>
      <c r="U47" s="49"/>
      <c r="V47" s="49"/>
    </row>
  </sheetData>
  <mergeCells count="11">
    <mergeCell ref="U4:V4"/>
    <mergeCell ref="D3:D5"/>
    <mergeCell ref="F3:I3"/>
    <mergeCell ref="J3:M3"/>
    <mergeCell ref="O3:Q4"/>
    <mergeCell ref="S3:V3"/>
    <mergeCell ref="F4:G4"/>
    <mergeCell ref="H4:I4"/>
    <mergeCell ref="J4:K4"/>
    <mergeCell ref="L4:M4"/>
    <mergeCell ref="S4:T4"/>
  </mergeCells>
  <conditionalFormatting sqref="O6:O36">
    <cfRule type="cellIs" dxfId="3" priority="4" operator="between">
      <formula>6</formula>
      <formula>6.7</formula>
    </cfRule>
  </conditionalFormatting>
  <conditionalFormatting sqref="Q6:Q36">
    <cfRule type="cellIs" dxfId="2" priority="2" operator="greaterThan">
      <formula>0</formula>
    </cfRule>
    <cfRule type="cellIs" dxfId="1" priority="3" operator="lessThan">
      <formula>0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DE0FD653-D47A-49C6-BE01-C9BC050929C6}">
            <xm:f>NOT(ISERROR(SEARCH("-",Q6)))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Q6:Q36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</vt:lpstr>
      <vt:lpstr>July-2020</vt:lpstr>
      <vt:lpstr>August-2020</vt:lpstr>
      <vt:lpstr>September-2020</vt:lpstr>
      <vt:lpstr>October-2020</vt:lpstr>
      <vt:lpstr>November-2020</vt:lpstr>
      <vt:lpstr>December-2020</vt:lpstr>
      <vt:lpstr>Januar-2021</vt:lpstr>
    </vt:vector>
  </TitlesOfParts>
  <Company>Airbus DS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MARTINS REZENDE, Eliardo Gabriel</dc:creator>
  <cp:lastModifiedBy>MARTINS REZENDE, Eliardo Gabriel</cp:lastModifiedBy>
  <dcterms:created xsi:type="dcterms:W3CDTF">2020-07-06T20:48:35Z</dcterms:created>
  <dcterms:modified xsi:type="dcterms:W3CDTF">2021-01-27T13:08:06Z</dcterms:modified>
</cp:coreProperties>
</file>